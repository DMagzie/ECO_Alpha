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T:\Projects\60-25186-ICD-Ventura &amp; 7th\Energy Model\"/>
    </mc:Choice>
  </mc:AlternateContent>
  <xr:revisionPtr revIDLastSave="0" documentId="13_ncr:1_{1CA1D0E6-D320-4EE9-B768-3F55AA6A36A5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Instructions" sheetId="1" r:id="rId1"/>
    <sheet name="Inputs_Calcs" sheetId="2" r:id="rId2"/>
    <sheet name="Definitions" sheetId="3" r:id="rId3"/>
    <sheet name="Lookups_References" sheetId="4" r:id="rId4"/>
    <sheet name="Report_Cli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3" i="2" l="1"/>
  <c r="B92" i="2"/>
  <c r="B20" i="5"/>
  <c r="B33" i="5"/>
  <c r="B32" i="5"/>
  <c r="B31" i="5"/>
  <c r="B225" i="2"/>
  <c r="B229" i="2" s="1"/>
  <c r="B34" i="5" s="1"/>
  <c r="B201" i="2"/>
  <c r="B217" i="2"/>
  <c r="B211" i="2"/>
  <c r="B209" i="2"/>
  <c r="B234" i="2"/>
  <c r="B233" i="2"/>
  <c r="A63" i="5"/>
  <c r="A57" i="5"/>
  <c r="A58" i="5"/>
  <c r="A59" i="5"/>
  <c r="A60" i="5"/>
  <c r="A61" i="5"/>
  <c r="A62" i="5"/>
  <c r="A53" i="5"/>
  <c r="A54" i="5"/>
  <c r="C61" i="5"/>
  <c r="C62" i="5"/>
  <c r="C53" i="5"/>
  <c r="C54" i="5"/>
  <c r="C60" i="5"/>
  <c r="C59" i="5"/>
  <c r="C58" i="5"/>
  <c r="C57" i="5"/>
  <c r="A51" i="5"/>
  <c r="C51" i="5"/>
  <c r="A52" i="5"/>
  <c r="C52" i="5"/>
  <c r="B179" i="2" l="1"/>
  <c r="C13" i="5"/>
  <c r="C19" i="5"/>
  <c r="C18" i="5"/>
  <c r="C17" i="5"/>
  <c r="B28" i="5"/>
  <c r="C27" i="5"/>
  <c r="C26" i="5"/>
  <c r="C11" i="5"/>
  <c r="C12" i="5" s="1"/>
  <c r="C24" i="5"/>
  <c r="C25" i="5" s="1"/>
  <c r="C22" i="5"/>
  <c r="C23" i="5" s="1"/>
  <c r="C14" i="5"/>
  <c r="C16" i="5"/>
  <c r="B190" i="2"/>
  <c r="B186" i="2"/>
  <c r="B185" i="2"/>
  <c r="B184" i="2"/>
  <c r="B183" i="2"/>
  <c r="B182" i="2"/>
  <c r="B181" i="2"/>
  <c r="B180" i="2"/>
  <c r="B173" i="2"/>
  <c r="B172" i="2"/>
  <c r="B171" i="2"/>
  <c r="B170" i="2"/>
  <c r="B169" i="2"/>
  <c r="B162" i="2"/>
  <c r="B161" i="2"/>
  <c r="B160" i="2"/>
  <c r="B159" i="2"/>
  <c r="B155" i="2"/>
  <c r="B154" i="2"/>
  <c r="B153" i="2"/>
  <c r="B152" i="2"/>
  <c r="B151" i="2"/>
  <c r="E146" i="2"/>
  <c r="D146" i="2"/>
  <c r="C146" i="2"/>
  <c r="B146" i="2"/>
  <c r="F146" i="2" s="1"/>
  <c r="E145" i="2"/>
  <c r="D145" i="2"/>
  <c r="C145" i="2"/>
  <c r="B145" i="2"/>
  <c r="F145" i="2" s="1"/>
  <c r="E144" i="2"/>
  <c r="D144" i="2"/>
  <c r="C144" i="2"/>
  <c r="B144" i="2"/>
  <c r="F144" i="2" s="1"/>
  <c r="E143" i="2"/>
  <c r="D143" i="2"/>
  <c r="C143" i="2"/>
  <c r="B143" i="2"/>
  <c r="F143" i="2" s="1"/>
  <c r="E142" i="2"/>
  <c r="D142" i="2"/>
  <c r="C142" i="2"/>
  <c r="B142" i="2"/>
  <c r="F142" i="2" s="1"/>
  <c r="E141" i="2"/>
  <c r="D141" i="2"/>
  <c r="C141" i="2"/>
  <c r="B141" i="2"/>
  <c r="F141" i="2" s="1"/>
  <c r="E140" i="2"/>
  <c r="D140" i="2"/>
  <c r="C140" i="2"/>
  <c r="B140" i="2"/>
  <c r="F140" i="2" s="1"/>
  <c r="B132" i="2"/>
  <c r="B129" i="2"/>
  <c r="B128" i="2"/>
  <c r="B124" i="2"/>
  <c r="C117" i="2"/>
  <c r="B117" i="2"/>
  <c r="C116" i="2"/>
  <c r="B116" i="2"/>
  <c r="C115" i="2"/>
  <c r="B115" i="2"/>
  <c r="B220" i="2" s="1"/>
  <c r="B221" i="2" s="1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B204" i="2" s="1"/>
  <c r="B205" i="2" s="1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86" i="2"/>
  <c r="B85" i="2"/>
  <c r="B84" i="2"/>
  <c r="B83" i="2"/>
  <c r="B82" i="2"/>
  <c r="B236" i="2" s="1"/>
  <c r="B238" i="2" s="1"/>
  <c r="N6" i="2"/>
  <c r="N5" i="2"/>
  <c r="G94" i="2" l="1"/>
  <c r="H94" i="2" s="1"/>
  <c r="I94" i="2" s="1"/>
  <c r="G109" i="2"/>
  <c r="H109" i="2" s="1"/>
  <c r="I109" i="2" s="1"/>
  <c r="G114" i="2"/>
  <c r="H114" i="2" s="1"/>
  <c r="I114" i="2" s="1"/>
  <c r="G95" i="2"/>
  <c r="H95" i="2" s="1"/>
  <c r="I95" i="2" s="1"/>
  <c r="G100" i="2"/>
  <c r="H100" i="2" s="1"/>
  <c r="I100" i="2" s="1"/>
  <c r="B174" i="2"/>
  <c r="B175" i="2" s="1"/>
  <c r="B176" i="2" s="1"/>
  <c r="G105" i="2"/>
  <c r="H105" i="2" s="1"/>
  <c r="I105" i="2" s="1"/>
  <c r="B134" i="2"/>
  <c r="G141" i="2"/>
  <c r="H141" i="2" s="1"/>
  <c r="B163" i="2"/>
  <c r="B164" i="2" s="1"/>
  <c r="B165" i="2" s="1"/>
  <c r="B258" i="2" s="1"/>
  <c r="E22" i="5" s="1"/>
  <c r="E23" i="5" s="1"/>
  <c r="B189" i="2"/>
  <c r="B192" i="2" s="1"/>
  <c r="G96" i="2"/>
  <c r="H96" i="2" s="1"/>
  <c r="I96" i="2" s="1"/>
  <c r="G101" i="2"/>
  <c r="H101" i="2" s="1"/>
  <c r="I101" i="2" s="1"/>
  <c r="G106" i="2"/>
  <c r="H106" i="2" s="1"/>
  <c r="I106" i="2" s="1"/>
  <c r="G111" i="2"/>
  <c r="H111" i="2" s="1"/>
  <c r="I111" i="2" s="1"/>
  <c r="G116" i="2"/>
  <c r="H116" i="2" s="1"/>
  <c r="I116" i="2" s="1"/>
  <c r="G142" i="2"/>
  <c r="H142" i="2" s="1"/>
  <c r="G92" i="2"/>
  <c r="H92" i="2" s="1"/>
  <c r="I92" i="2" s="1"/>
  <c r="G97" i="2"/>
  <c r="H97" i="2" s="1"/>
  <c r="I97" i="2" s="1"/>
  <c r="G102" i="2"/>
  <c r="H102" i="2" s="1"/>
  <c r="I102" i="2" s="1"/>
  <c r="G112" i="2"/>
  <c r="H112" i="2" s="1"/>
  <c r="I112" i="2" s="1"/>
  <c r="G117" i="2"/>
  <c r="H117" i="2" s="1"/>
  <c r="I117" i="2" s="1"/>
  <c r="G93" i="2"/>
  <c r="H93" i="2" s="1"/>
  <c r="I93" i="2" s="1"/>
  <c r="G98" i="2"/>
  <c r="H98" i="2" s="1"/>
  <c r="I98" i="2" s="1"/>
  <c r="G103" i="2"/>
  <c r="H103" i="2" s="1"/>
  <c r="I103" i="2" s="1"/>
  <c r="G108" i="2"/>
  <c r="H108" i="2" s="1"/>
  <c r="I108" i="2" s="1"/>
  <c r="G113" i="2"/>
  <c r="H113" i="2" s="1"/>
  <c r="I113" i="2" s="1"/>
  <c r="G143" i="2"/>
  <c r="H143" i="2" s="1"/>
  <c r="G110" i="2"/>
  <c r="H110" i="2" s="1"/>
  <c r="I110" i="2" s="1"/>
  <c r="B241" i="2"/>
  <c r="C63" i="5"/>
  <c r="G107" i="2"/>
  <c r="H107" i="2" s="1"/>
  <c r="I107" i="2" s="1"/>
  <c r="G115" i="2"/>
  <c r="H115" i="2" s="1"/>
  <c r="I115" i="2" s="1"/>
  <c r="B244" i="2"/>
  <c r="C64" i="5"/>
  <c r="B156" i="2"/>
  <c r="B157" i="2" s="1"/>
  <c r="G140" i="2"/>
  <c r="H140" i="2" s="1"/>
  <c r="B194" i="2"/>
  <c r="B196" i="2" s="1"/>
  <c r="B263" i="2" s="1"/>
  <c r="E27" i="5" s="1"/>
  <c r="B131" i="2"/>
  <c r="C21" i="5"/>
  <c r="G99" i="2"/>
  <c r="H99" i="2" s="1"/>
  <c r="I99" i="2" s="1"/>
  <c r="C15" i="5"/>
  <c r="B251" i="2"/>
  <c r="B24" i="5" s="1"/>
  <c r="B125" i="2"/>
  <c r="B252" i="2" s="1"/>
  <c r="E24" i="5" s="1"/>
  <c r="E25" i="5" s="1"/>
  <c r="G104" i="2"/>
  <c r="H104" i="2" s="1"/>
  <c r="I104" i="2" s="1"/>
  <c r="G146" i="2"/>
  <c r="H146" i="2" s="1"/>
  <c r="B187" i="2"/>
  <c r="B188" i="2" s="1"/>
  <c r="B191" i="2" s="1"/>
  <c r="B195" i="2" s="1"/>
  <c r="G144" i="2"/>
  <c r="H144" i="2" s="1"/>
  <c r="G145" i="2"/>
  <c r="H145" i="2" s="1"/>
  <c r="B261" i="2"/>
  <c r="B27" i="5" s="1"/>
  <c r="B245" i="2" l="1"/>
  <c r="B268" i="2" s="1"/>
  <c r="E19" i="5" s="1"/>
  <c r="B19" i="5"/>
  <c r="B135" i="2"/>
  <c r="G148" i="2"/>
  <c r="B255" i="2" s="1"/>
  <c r="B13" i="5" s="1"/>
  <c r="D13" i="5" s="1"/>
  <c r="B22" i="5"/>
  <c r="D22" i="5" s="1"/>
  <c r="D23" i="5" s="1"/>
  <c r="B262" i="2"/>
  <c r="C28" i="5" s="1"/>
  <c r="B197" i="2"/>
  <c r="B264" i="2" s="1"/>
  <c r="E28" i="5" s="1"/>
  <c r="I119" i="2"/>
  <c r="B250" i="2" s="1"/>
  <c r="E16" i="5" s="1"/>
  <c r="D19" i="5"/>
  <c r="B158" i="2"/>
  <c r="B257" i="2" s="1"/>
  <c r="E14" i="5" s="1"/>
  <c r="B14" i="5"/>
  <c r="D14" i="5" s="1"/>
  <c r="D27" i="5"/>
  <c r="B265" i="2"/>
  <c r="E17" i="5" s="1"/>
  <c r="B17" i="5"/>
  <c r="B177" i="2"/>
  <c r="B260" i="2" s="1"/>
  <c r="E26" i="5" s="1"/>
  <c r="B259" i="2"/>
  <c r="B26" i="5" s="1"/>
  <c r="B136" i="2"/>
  <c r="B254" i="2" s="1"/>
  <c r="E11" i="5" s="1"/>
  <c r="E12" i="5" s="1"/>
  <c r="B253" i="2"/>
  <c r="B11" i="5" s="1"/>
  <c r="H119" i="2"/>
  <c r="B249" i="2" s="1"/>
  <c r="B16" i="5" s="1"/>
  <c r="B37" i="5" s="1"/>
  <c r="B242" i="2"/>
  <c r="B267" i="2" s="1"/>
  <c r="E18" i="5" s="1"/>
  <c r="B18" i="5"/>
  <c r="D18" i="5" s="1"/>
  <c r="H148" i="2"/>
  <c r="B256" i="2" s="1"/>
  <c r="E13" i="5" s="1"/>
  <c r="D24" i="5"/>
  <c r="D25" i="5" s="1"/>
  <c r="B25" i="5"/>
  <c r="B271" i="2" l="1"/>
  <c r="B23" i="5"/>
  <c r="C37" i="5"/>
  <c r="C29" i="5"/>
  <c r="D28" i="5"/>
  <c r="E37" i="5"/>
  <c r="E15" i="5"/>
  <c r="B270" i="2"/>
  <c r="D16" i="5"/>
  <c r="D15" i="5" s="1"/>
  <c r="B15" i="5"/>
  <c r="B12" i="5"/>
  <c r="B38" i="5" s="1"/>
  <c r="B41" i="5" s="1"/>
  <c r="D11" i="5"/>
  <c r="D12" i="5" s="1"/>
  <c r="D17" i="5"/>
  <c r="D21" i="5" s="1"/>
  <c r="B21" i="5"/>
  <c r="E21" i="5"/>
  <c r="D26" i="5"/>
  <c r="B29" i="5"/>
  <c r="E29" i="5"/>
  <c r="B272" i="2" l="1"/>
  <c r="B273" i="2" s="1"/>
  <c r="D29" i="5"/>
  <c r="D37" i="5"/>
</calcChain>
</file>

<file path=xl/sharedStrings.xml><?xml version="1.0" encoding="utf-8"?>
<sst xmlns="http://schemas.openxmlformats.org/spreadsheetml/2006/main" count="556" uniqueCount="324">
  <si>
    <t>Instructions — How to Use This Workbook</t>
  </si>
  <si>
    <t>1) Open the Inputs_Calcs tab. In the header, enter: Project Name, Units, blended Electricity $/kWh, and (if applicable) Demand $/kW, Fixed $/mo, Billing Demand (kW), Months/Year.</t>
  </si>
  <si>
    <t>2) Interior Lighting: enter areas (ft²) for each common-space row. LPDs auto-fill from Lookups_References. If space planning isn't final, use the 'MFOther (blended preset)' line as a placeholder, then replace with exact spaces later.</t>
  </si>
  <si>
    <t>3) Parking Garage: enter garage area and confirm the Parking Garage LPD (defaults to a placeholder). Set hours, days, and a control factor. If the garage is mechanically ventilated, choose Yes and fill the simple fan W/ft², hours, and days.</t>
  </si>
  <si>
    <t>4) EV Chargers: set Total Parking Spaces and the % EV Charger Spaces on the Parking Garage section; the EV section pulls those values automatically. Adjust kW/port and hours/day as needed.</t>
  </si>
  <si>
    <t>5) Site Lighting: paste Installed Watts per category from NRCC-LTO. Adjust hours/day and control factor to match expected controls (e.g., photocell, motion bi-level).</t>
  </si>
  <si>
    <t>6) Pools/Spas (if any): fill pump HP, efficiency, hours/days. Add heater inputs only if present (Electric or Gas).</t>
  </si>
  <si>
    <t>7) Review the roll-up at the bottom of Inputs_Calcs and the client-facing Report_Client tab. Print or export Report_Client.</t>
  </si>
  <si>
    <t>8) Lookups_References: holds the LPD table, rate shells, and citations. Update rates (blended $/kWh, demand $/kW, fixed $/mo) as needed and record the source &amp; effective date.</t>
  </si>
  <si>
    <t>Inputs &amp; Calculations — Multifamily Common Areas (Blended Rates)</t>
  </si>
  <si>
    <t>Project Name</t>
  </si>
  <si>
    <t>Units (count)</t>
  </si>
  <si>
    <t>Electricity Rate ($/kWh)</t>
  </si>
  <si>
    <t>Gas Rate ($/therm)</t>
  </si>
  <si>
    <t>Billing Demand (kW)</t>
  </si>
  <si>
    <t>Demand $/kW</t>
  </si>
  <si>
    <t>Fixed $/mo</t>
  </si>
  <si>
    <t>Billing Months/Year</t>
  </si>
  <si>
    <t>Annual Demand $</t>
  </si>
  <si>
    <t>Annual Fixed $</t>
  </si>
  <si>
    <t>DATA COLLECTION — Project Areas, Counts &amp; Assumptions</t>
  </si>
  <si>
    <t>Areas by Type</t>
  </si>
  <si>
    <t>Area Type (matches lighting table)</t>
  </si>
  <si>
    <t>Area (ft²)</t>
  </si>
  <si>
    <t>Conditioned? (Yes/No)</t>
  </si>
  <si>
    <t>Ventilated? (Yes/No)</t>
  </si>
  <si>
    <t>Notes</t>
  </si>
  <si>
    <t>Corridor Area</t>
  </si>
  <si>
    <t>No</t>
  </si>
  <si>
    <t>Yes</t>
  </si>
  <si>
    <t>Stairwell</t>
  </si>
  <si>
    <t>Lobby, Main Entry</t>
  </si>
  <si>
    <t>Lounge / Club Room</t>
  </si>
  <si>
    <t>Exercise / Fitness</t>
  </si>
  <si>
    <t>Office Area (&gt; 250 ft²)</t>
  </si>
  <si>
    <t>Office Area (≤ 250 ft²)</t>
  </si>
  <si>
    <t>Restrooms (Common)</t>
  </si>
  <si>
    <t>Laundry (Common)</t>
  </si>
  <si>
    <t>Electrical/Mechanical/Telephone</t>
  </si>
  <si>
    <t>Storage – Warehouse</t>
  </si>
  <si>
    <t>Kitchen / Food Prep</t>
  </si>
  <si>
    <t>MFOther (blended preset)</t>
  </si>
  <si>
    <t>Parking Garage</t>
  </si>
  <si>
    <t>Blended Annual Rates — Electricity &amp; Gas</t>
  </si>
  <si>
    <t>Utility</t>
  </si>
  <si>
    <t>PG&amp;E</t>
  </si>
  <si>
    <t>SCE</t>
  </si>
  <si>
    <t>SDG&amp;E</t>
  </si>
  <si>
    <t>Other/Custom</t>
  </si>
  <si>
    <t>Surface Parking</t>
  </si>
  <si>
    <t>Counts &amp; Equipment</t>
  </si>
  <si>
    <t># of Elevators</t>
  </si>
  <si>
    <t>Total Parking Spaces</t>
  </si>
  <si>
    <t>% EV Charger Spaces of Total</t>
  </si>
  <si>
    <t>Installed L2 Ports (override)</t>
  </si>
  <si>
    <t>Rated kW per EV Port</t>
  </si>
  <si>
    <t>Avg Use per EV Port (hours/day)</t>
  </si>
  <si>
    <t># of Pools/Spas</t>
  </si>
  <si>
    <t>Site Lighting (NRCC-LTO) — Inputs</t>
  </si>
  <si>
    <t>Category / Location</t>
  </si>
  <si>
    <t>Installed Watts</t>
  </si>
  <si>
    <t>Hours/Day</t>
  </si>
  <si>
    <t>Days/Year</t>
  </si>
  <si>
    <t>Control Factor (0–1)</t>
  </si>
  <si>
    <t>Hardscape / Parking Areas</t>
  </si>
  <si>
    <t>Walkways &amp; Stairways (Exterior)</t>
  </si>
  <si>
    <t>Driveways / Roadways</t>
  </si>
  <si>
    <t>Building Facade</t>
  </si>
  <si>
    <t>Entrance Canopies &amp; Overhangs</t>
  </si>
  <si>
    <t>Landscape / Accent</t>
  </si>
  <si>
    <t>Outdoor Dining / Patio (if any)</t>
  </si>
  <si>
    <t>Parking Garage — Data</t>
  </si>
  <si>
    <t>Parking Garage Area (ft²)</t>
  </si>
  <si>
    <t>Mechanically Ventilated? (Yes/No)</t>
  </si>
  <si>
    <t>Vent Fan Power Density (W/ft²)</t>
  </si>
  <si>
    <t>Vent Hours/Day</t>
  </si>
  <si>
    <t>Vent Days/Year</t>
  </si>
  <si>
    <t>Pools / Spas — Data</t>
  </si>
  <si>
    <t>Heat Source (Gas/Electric/Heat Pump)</t>
  </si>
  <si>
    <t>Pool Size (ft² surface area)</t>
  </si>
  <si>
    <t>Pump HP per Pool</t>
  </si>
  <si>
    <t>Heater Load Fraction (0–1)</t>
  </si>
  <si>
    <t>Heater Hours/Day</t>
  </si>
  <si>
    <t>Heater Days/Year</t>
  </si>
  <si>
    <t>Boiler Efficiency (0–1)</t>
  </si>
  <si>
    <t>HP Pool Heater COP</t>
  </si>
  <si>
    <t>Pump Efficiency (0–1)</t>
  </si>
  <si>
    <t>Pump Hours/Day</t>
  </si>
  <si>
    <t>Pump Days/Year</t>
  </si>
  <si>
    <t>HVAC — Space Conditioning &amp; Ventilation (Assumptions)</t>
  </si>
  <si>
    <t>Heating EUI (kWh/ft²·yr) — HP min-eff</t>
  </si>
  <si>
    <t>Cooling EUI (kWh/ft²·yr) — HP min-eff</t>
  </si>
  <si>
    <t>Ventilation W/ft² (balanced const-speed)</t>
  </si>
  <si>
    <t>Vent Hours/Day (constant)</t>
  </si>
  <si>
    <t>Interior Lighting — Calculations (LPD × Area × schedules × factors)</t>
  </si>
  <si>
    <t>Space Type (fixed)</t>
  </si>
  <si>
    <t>LPD (W/ft²)</t>
  </si>
  <si>
    <t>Hours/Year</t>
  </si>
  <si>
    <t>Diversity (0–1)</t>
  </si>
  <si>
    <t>Connected kW</t>
  </si>
  <si>
    <t>kWh/yr</t>
  </si>
  <si>
    <t>$/yr</t>
  </si>
  <si>
    <t>Interior Lighting kWh/yr — Subtotal</t>
  </si>
  <si>
    <t>Interior Lighting $/yr — Subtotal</t>
  </si>
  <si>
    <t>Elevators</t>
  </si>
  <si>
    <t>Assumed kWh per Elevator per Year</t>
  </si>
  <si>
    <t>Elevators — Annual kWh</t>
  </si>
  <si>
    <t>Elevators — Annual $</t>
  </si>
  <si>
    <t>EV Chargers (Level 2)</t>
  </si>
  <si>
    <t>% of Spaces with L2 Ports</t>
  </si>
  <si>
    <t>Installed L2 Ports (used)</t>
  </si>
  <si>
    <t>Rated kW per Port</t>
  </si>
  <si>
    <t>Avg Use per Port (hours/day)</t>
  </si>
  <si>
    <t>EV — kWh per Port per Year</t>
  </si>
  <si>
    <t>EV — Annual kWh</t>
  </si>
  <si>
    <t>EV — Annual $</t>
  </si>
  <si>
    <t>Site Lighting (paste NRCC-LTO installed watts; enter hours &amp; control factor)</t>
  </si>
  <si>
    <t>kW</t>
  </si>
  <si>
    <t>Site Lighting kWh/yr — Subtotal</t>
  </si>
  <si>
    <t>Site Lighting $/yr — Subtotal</t>
  </si>
  <si>
    <t>Parking Lighting LPD (W/ft²)</t>
  </si>
  <si>
    <t>Parking Lighting — Connected kW</t>
  </si>
  <si>
    <t>Parking Lighting — Annual kWh</t>
  </si>
  <si>
    <t>Parking Lighting — Annual $</t>
  </si>
  <si>
    <t>Ventilation — Connected kW</t>
  </si>
  <si>
    <t>Ventilation — Annual kWh</t>
  </si>
  <si>
    <t>Ventilation — Annual $</t>
  </si>
  <si>
    <t>Pools / Spas (Revised)</t>
  </si>
  <si>
    <t>Pump kW per Pool</t>
  </si>
  <si>
    <t>Pump kWh per Pool per Year</t>
  </si>
  <si>
    <t>Pumps — Annual kWh</t>
  </si>
  <si>
    <t>Pumps — Annual $</t>
  </si>
  <si>
    <t>Heater Load Factor (W/ft²) [Lookup]</t>
  </si>
  <si>
    <t>Heater Hours/Day [Lookup]</t>
  </si>
  <si>
    <t>Heater Days/Year [Lookup]</t>
  </si>
  <si>
    <t>Boiler Efficiency (0–1) [Lookup]</t>
  </si>
  <si>
    <t>HP Pool Heater COP [Lookup]</t>
  </si>
  <si>
    <t>Heater Size — kW (normalized from Pool Size)</t>
  </si>
  <si>
    <t>Heater Size — kBtu/h (normalized)</t>
  </si>
  <si>
    <t>Heater kWh per Pool per Year (Electric/HP)</t>
  </si>
  <si>
    <t>Heater therms per Pool per Year (Gas)</t>
  </si>
  <si>
    <t>Heaters — Annual kWh (Electric/HP)</t>
  </si>
  <si>
    <t>Heaters — Annual therms (Gas)</t>
  </si>
  <si>
    <t>Heaters — Annual $ (Electric/HP)</t>
  </si>
  <si>
    <t>Heaters — Annual $ (Gas)</t>
  </si>
  <si>
    <t>HVAC — Space Conditioning &amp; Ventilation (Calculated)</t>
  </si>
  <si>
    <t>Total Conditioned Area (ft²)</t>
  </si>
  <si>
    <t>Total Ventilated Area (ft²)</t>
  </si>
  <si>
    <t>Heating — Annual kWh (HP min-eff)</t>
  </si>
  <si>
    <t>(removed) Heating — Annual therms (not used)</t>
  </si>
  <si>
    <t>Heating — Annual $ (electric HP)</t>
  </si>
  <si>
    <t>(removed) Heating — Annual $ (gas)</t>
  </si>
  <si>
    <t>Cooling — Annual kWh (HP)</t>
  </si>
  <si>
    <t>Cooling — Annual $</t>
  </si>
  <si>
    <t>Ventilation — Annual kWh (balanced const-speed)</t>
  </si>
  <si>
    <t>Summary (Auto)</t>
  </si>
  <si>
    <t>Interior Lighting — Annual kWh</t>
  </si>
  <si>
    <t>Interior Lighting — Annual $</t>
  </si>
  <si>
    <t>EV Chargers — Annual kWh</t>
  </si>
  <si>
    <t>EV Chargers — Annual $</t>
  </si>
  <si>
    <t>Site Lighting — Annual kWh</t>
  </si>
  <si>
    <t>Site Lighting — Annual $</t>
  </si>
  <si>
    <t>Parking Garage — Lighting $</t>
  </si>
  <si>
    <t>Parking Garage — Ventilation $</t>
  </si>
  <si>
    <t>Pools — Pumps (kWh)</t>
  </si>
  <si>
    <t>Pools — Pumps (Electric $)</t>
  </si>
  <si>
    <t>Pools — Heater (kWh, if electric)</t>
  </si>
  <si>
    <t>Pools — Heater (therms, if gas)</t>
  </si>
  <si>
    <t>Pools — Heater (Electric $)</t>
  </si>
  <si>
    <t>Pools — Heater (Gas $)</t>
  </si>
  <si>
    <t>HVAC — Heating (electric/HP)</t>
  </si>
  <si>
    <t>HVAC — Heating (gas) — (not used)</t>
  </si>
  <si>
    <t>HVAC — Cooling (electric)</t>
  </si>
  <si>
    <t>HVAC — Ventilation (fans)</t>
  </si>
  <si>
    <t>TOTAL — Electric $ (all categories + demand + fixed)</t>
  </si>
  <si>
    <t>TOTAL — Gas $</t>
  </si>
  <si>
    <t>GRAND TOTAL ($/yr)</t>
  </si>
  <si>
    <t>Per-Unit Per Month ($/unit·mo)</t>
  </si>
  <si>
    <t>Definitions — Technical Terms &amp; Inputs</t>
  </si>
  <si>
    <t>Term</t>
  </si>
  <si>
    <t>Definition / How Used</t>
  </si>
  <si>
    <t>LPD (Lighting Power Density, W/ft²)</t>
  </si>
  <si>
    <t>Watts of installed lighting per square foot. Used with area to compute connected kW: kW = Area × LPD / 1000.</t>
  </si>
  <si>
    <t>Represents average reduction from controls (e.g., occupancy/bi-level). 0.60 means 40% average reduction vs. full power.</t>
  </si>
  <si>
    <t>Diversity Factor (0–1)</t>
  </si>
  <si>
    <t>Represents non-simultaneous operation across a group. Commonly 0.90 for corridors; 1.00 otherwise.</t>
  </si>
  <si>
    <t>Blended Electricity Rate ($/kWh)</t>
  </si>
  <si>
    <t>Single average energy charge used across all kWh; excludes demand/fixed which are added separately.</t>
  </si>
  <si>
    <t>Demand Charge ($/kW)</t>
  </si>
  <si>
    <t>Monthly charge per billing kW; annual demand $ = $/kW × billing kW × months.</t>
  </si>
  <si>
    <t>Fixed Charge ($/mo)</t>
  </si>
  <si>
    <t>Monthly customer charge; annual fixed $ = $/mo × months.</t>
  </si>
  <si>
    <t>Hours/Day; Days/Year</t>
  </si>
  <si>
    <t>Operating schedule inputs used to derive annual hours.</t>
  </si>
  <si>
    <t>Temporary common-area lighting category with a blended LPD used before exact occupancy definitions are finalized.</t>
  </si>
  <si>
    <t>Mechanically Ventilated (Parking)</t>
  </si>
  <si>
    <t>Yes/No toggle. If Yes, ventilation energy is computed from fan W/ft², area, and hours.</t>
  </si>
  <si>
    <t>Installed Watts (Site Lighting)</t>
  </si>
  <si>
    <t>Total connected exterior lighting watts by category from NRCC-LTO prescriptive calculations.</t>
  </si>
  <si>
    <t>EV Charger % of Parking</t>
  </si>
  <si>
    <t>Percent of total parking spaces equipped with EV charging; used to estimate # of ports or spaces.</t>
  </si>
  <si>
    <t>Lighting Power Densities — Title 24 (2022) Table 140.6-C (Common MF Spaces)</t>
  </si>
  <si>
    <t>Space Type</t>
  </si>
  <si>
    <t>Standard corridors</t>
  </si>
  <si>
    <t>Common stairwells</t>
  </si>
  <si>
    <t>Entry lobby</t>
  </si>
  <si>
    <t>Amenity lounge/club room</t>
  </si>
  <si>
    <t>Fitness room/gym</t>
  </si>
  <si>
    <t>Leasing office</t>
  </si>
  <si>
    <t>Small office</t>
  </si>
  <si>
    <t>Clubhouse kitchen</t>
  </si>
  <si>
    <t>Use before occupancy definitions are finalized; replace with specific spaces later.</t>
  </si>
  <si>
    <t>Placeholder LPD; edit per design / local code interpretation.</t>
  </si>
  <si>
    <t>Class (kW range)</t>
  </si>
  <si>
    <t>Energy $/kWh</t>
  </si>
  <si>
    <t>Tariff Code</t>
  </si>
  <si>
    <t>Effective Date</t>
  </si>
  <si>
    <t>Source / Notes</t>
  </si>
  <si>
    <t>Small (≤20 kW)</t>
  </si>
  <si>
    <t>B-1 (Small General Service TOU)</t>
  </si>
  <si>
    <t>2025-08 (planning default)</t>
  </si>
  <si>
    <t>Planning default; confirm latest PG&amp;E tariff for project.</t>
  </si>
  <si>
    <t>Medium (20–200 kW)</t>
  </si>
  <si>
    <t>E-19 / B-19 (verify)</t>
  </si>
  <si>
    <t>Planning default; verify actual tariff selection and demand components.</t>
  </si>
  <si>
    <t>Large (&gt;200 kW)</t>
  </si>
  <si>
    <t>E-20 (verify)</t>
  </si>
  <si>
    <t>Planning default; verify ratchets / transmission demand.</t>
  </si>
  <si>
    <t>TOU-GS-1</t>
  </si>
  <si>
    <t>Planning default for SCE GS-1.</t>
  </si>
  <si>
    <t>TOU-GS-2</t>
  </si>
  <si>
    <t>Planning default for SCE GS-2 (demand).</t>
  </si>
  <si>
    <t>TOU-GS-3</t>
  </si>
  <si>
    <t>Planning default for SCE GS-3 (demand).</t>
  </si>
  <si>
    <t>AL-TOU (Small)</t>
  </si>
  <si>
    <t>Planning default for SDG&amp;E AL-TOU small.</t>
  </si>
  <si>
    <t>AL-TOU (Med) / AL-TOU2</t>
  </si>
  <si>
    <t>Planning default for SDG&amp;E medium (demand).</t>
  </si>
  <si>
    <t>AL-TOU (Large) / AL-TOU2</t>
  </si>
  <si>
    <t>Planning default for SDG&amp;E large (demand).</t>
  </si>
  <si>
    <t>Any</t>
  </si>
  <si>
    <t>Enter tariff</t>
  </si>
  <si>
    <t>2025-08 (placeholder)</t>
  </si>
  <si>
    <t>Use for non-IOUs or custom blends.</t>
  </si>
  <si>
    <t>References &amp; Sources (Traceability)</t>
  </si>
  <si>
    <t>Topic</t>
  </si>
  <si>
    <t>Reference / Source</t>
  </si>
  <si>
    <t>Notes (why/how used)</t>
  </si>
  <si>
    <t>LPD values</t>
  </si>
  <si>
    <t>CA Title 24, Part 6 (2022) — Table 140.6-C</t>
  </si>
  <si>
    <t>Used for interior common-area lighting power densities.</t>
  </si>
  <si>
    <t>Outdoor control schemes</t>
  </si>
  <si>
    <t>Title 24 §130.2 (Outdoor Lighting Controls)</t>
  </si>
  <si>
    <t>Default assumptions for hours/control; user can override.</t>
  </si>
  <si>
    <t>NRCC-LTO</t>
  </si>
  <si>
    <t>Nonresidential Certificate of Compliance (Outdoor Lighting)</t>
  </si>
  <si>
    <t>Installed Watts pasted into Site Lighting.</t>
  </si>
  <si>
    <t>DRE Budget mapping</t>
  </si>
  <si>
    <t>RE 623 Budget Worksheet (California DRE)</t>
  </si>
  <si>
    <t>Roll-up to 201 Electricity and 202 Gas for HOA budgets.</t>
  </si>
  <si>
    <t>Tariffs</t>
  </si>
  <si>
    <t>PG&amp;E / SCE / SDG&amp;E official rate sheets</t>
  </si>
  <si>
    <t>Enter blended annual $/kWh, demand $/kW, fixed $/mo.</t>
  </si>
  <si>
    <t>Pool Defaults</t>
  </si>
  <si>
    <t>Value</t>
  </si>
  <si>
    <t>Heater Load Factor (W/ft²)</t>
  </si>
  <si>
    <t>Heat Pump COP</t>
  </si>
  <si>
    <t>HVAC Defaults</t>
  </si>
  <si>
    <t>Show therms</t>
  </si>
  <si>
    <t>Show kBtu</t>
  </si>
  <si>
    <t>Show Cost</t>
  </si>
  <si>
    <t>Show Gas</t>
  </si>
  <si>
    <t>Category</t>
  </si>
  <si>
    <t>therms/yr</t>
  </si>
  <si>
    <t>kBtu/yr</t>
  </si>
  <si>
    <t>Lighting — Interior</t>
  </si>
  <si>
    <t>Lighting — Site</t>
  </si>
  <si>
    <t>Parking — Lighting</t>
  </si>
  <si>
    <t>Parking — Ventilation</t>
  </si>
  <si>
    <t>EV Chargers (L2)</t>
  </si>
  <si>
    <t>Pools — Pumps</t>
  </si>
  <si>
    <t>Pools — Heater (Electric/HP)</t>
  </si>
  <si>
    <t>Pools — Heater (Gas)</t>
  </si>
  <si>
    <t>HVAC — Heating (HP)</t>
  </si>
  <si>
    <t>HVAC — Cooling</t>
  </si>
  <si>
    <t>HVAC — Ventilation</t>
  </si>
  <si>
    <t>Parking (Ventilation) — subtotal</t>
  </si>
  <si>
    <t>Elevators — subtotal</t>
  </si>
  <si>
    <t>EV Charging — subtotal</t>
  </si>
  <si>
    <t>Pools — subtotal</t>
  </si>
  <si>
    <t>Grand Total</t>
  </si>
  <si>
    <t>Enter this below in the Parking Garage inputs</t>
  </si>
  <si>
    <t>Assumptions</t>
  </si>
  <si>
    <t>Unconditioned Ventilated Area</t>
  </si>
  <si>
    <t>Basis of Calculations</t>
  </si>
  <si>
    <t>Solar Cost Offset Calculation</t>
  </si>
  <si>
    <t>PG&amp;E / SCE / SDG&amp;E official rate sheets 2025</t>
  </si>
  <si>
    <r>
      <rPr>
        <b/>
        <sz val="11"/>
        <color theme="1"/>
        <rFont val="Calibri"/>
        <family val="2"/>
        <scheme val="minor"/>
      </rPr>
      <t>Solar Cost Offset Calculation -</t>
    </r>
    <r>
      <rPr>
        <sz val="11"/>
        <color theme="1"/>
        <rFont val="Calibri"/>
        <family val="2"/>
        <scheme val="minor"/>
      </rPr>
      <t xml:space="preserve"> provides an estimate of the common area energy loads by applying the overall energy consumption percentage of T24 to the total building footprint. 
</t>
    </r>
    <r>
      <rPr>
        <b/>
        <sz val="11"/>
        <color theme="1"/>
        <rFont val="Calibri"/>
        <family val="2"/>
        <scheme val="minor"/>
      </rPr>
      <t>Design Phase Estimate</t>
    </r>
    <r>
      <rPr>
        <sz val="11"/>
        <color theme="1"/>
        <rFont val="Calibri"/>
        <family val="2"/>
        <scheme val="minor"/>
      </rPr>
      <t xml:space="preserve"> - actual energy consumption will vary based on real-world usage patterns and operational conditions.</t>
    </r>
  </si>
  <si>
    <t>Energy Use and Cost by Category</t>
  </si>
  <si>
    <t>Date: 9/19/2025</t>
  </si>
  <si>
    <t>Project: 9th and Linden</t>
  </si>
  <si>
    <t>Not developed yet</t>
  </si>
  <si>
    <t>Enter blended or non-blended not both</t>
  </si>
  <si>
    <t>Fire Pumps</t>
  </si>
  <si>
    <t>Booster Pumps</t>
  </si>
  <si>
    <t xml:space="preserve">Pump HP </t>
  </si>
  <si>
    <t>Pump HP</t>
  </si>
  <si>
    <t xml:space="preserve">Pump kW per </t>
  </si>
  <si>
    <t>Recirc</t>
  </si>
  <si>
    <t>Pump kWh per Year</t>
  </si>
  <si>
    <t>Water Softener</t>
  </si>
  <si>
    <t>Fire Pump</t>
  </si>
  <si>
    <t>Recirc Pumps</t>
  </si>
  <si>
    <t>Elevator Shaft RTU</t>
  </si>
  <si>
    <t>Starewell Freeze Protection</t>
  </si>
  <si>
    <t>Extra HPWH load</t>
  </si>
  <si>
    <t>Modeled Energy Use</t>
  </si>
  <si>
    <t>Exterior Lighting — subtotal</t>
  </si>
  <si>
    <t>DHW *</t>
  </si>
  <si>
    <t>None</t>
  </si>
  <si>
    <t>Ventura &amp; 7th</t>
  </si>
  <si>
    <t>Without EV</t>
  </si>
  <si>
    <t>Total (wth modeled)</t>
  </si>
  <si>
    <t>Total (No 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</si>
</sst>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DEB8"/>
        <bgColor rgb="FFEAECEE"/>
      </patternFill>
    </fill>
    <fill>
      <patternFill patternType="solid">
        <fgColor rgb="FFBDDEB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4">
    <xf numFmtId="0" fontId="0" fillId="0" borderId="0"/>
    <xf numFmtId="43" fontId="3" fillId="0" borderId="0"/>
    <xf numFmtId="44" fontId="3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0" fillId="0" borderId="0" xfId="1" applyNumberFormat="1" applyFont="1"/>
    <xf numFmtId="165" fontId="2" fillId="0" borderId="0" xfId="1" applyNumberFormat="1" applyFont="1"/>
    <xf numFmtId="166" fontId="0" fillId="0" borderId="0" xfId="2" applyNumberFormat="1" applyFont="1"/>
    <xf numFmtId="166" fontId="2" fillId="0" borderId="0" xfId="2" applyNumberFormat="1" applyFont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0" fontId="0" fillId="5" borderId="1" xfId="0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0" fillId="7" borderId="0" xfId="0" applyFill="1"/>
    <xf numFmtId="0" fontId="10" fillId="0" borderId="0" xfId="0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11" fillId="0" borderId="0" xfId="0" applyFont="1"/>
    <xf numFmtId="0" fontId="2" fillId="7" borderId="2" xfId="0" applyFont="1" applyFill="1" applyBorder="1" applyAlignment="1">
      <alignment horizontal="right"/>
    </xf>
    <xf numFmtId="3" fontId="8" fillId="7" borderId="2" xfId="0" applyNumberFormat="1" applyFont="1" applyFill="1" applyBorder="1" applyAlignment="1">
      <alignment horizontal="right"/>
    </xf>
    <xf numFmtId="164" fontId="8" fillId="7" borderId="2" xfId="0" applyNumberFormat="1" applyFont="1" applyFill="1" applyBorder="1" applyAlignment="1">
      <alignment horizontal="right"/>
    </xf>
    <xf numFmtId="0" fontId="4" fillId="8" borderId="2" xfId="0" applyFont="1" applyFill="1" applyBorder="1" applyAlignment="1">
      <alignment horizontal="center"/>
    </xf>
    <xf numFmtId="0" fontId="2" fillId="9" borderId="0" xfId="0" applyFont="1" applyFill="1"/>
    <xf numFmtId="3" fontId="8" fillId="9" borderId="0" xfId="0" applyNumberFormat="1" applyFont="1" applyFill="1"/>
    <xf numFmtId="164" fontId="8" fillId="9" borderId="0" xfId="0" applyNumberFormat="1" applyFont="1" applyFill="1"/>
    <xf numFmtId="0" fontId="0" fillId="10" borderId="1" xfId="0" applyFill="1" applyBorder="1"/>
    <xf numFmtId="0" fontId="12" fillId="0" borderId="0" xfId="0" applyFont="1"/>
    <xf numFmtId="43" fontId="3" fillId="0" borderId="0" xfId="1"/>
    <xf numFmtId="0" fontId="2" fillId="7" borderId="0" xfId="0" applyFont="1" applyFill="1" applyAlignment="1">
      <alignment horizontal="right"/>
    </xf>
    <xf numFmtId="3" fontId="8" fillId="7" borderId="0" xfId="0" applyNumberFormat="1" applyFont="1" applyFill="1" applyAlignment="1">
      <alignment horizontal="right"/>
    </xf>
    <xf numFmtId="164" fontId="8" fillId="7" borderId="0" xfId="0" applyNumberFormat="1" applyFont="1" applyFill="1" applyAlignment="1">
      <alignment horizontal="right"/>
    </xf>
    <xf numFmtId="0" fontId="13" fillId="7" borderId="0" xfId="0" applyFont="1" applyFill="1" applyAlignment="1">
      <alignment horizontal="right"/>
    </xf>
    <xf numFmtId="10" fontId="0" fillId="0" borderId="0" xfId="3" applyNumberFormat="1" applyFont="1"/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3" fontId="0" fillId="0" borderId="0" xfId="0" applyNumberFormat="1"/>
    <xf numFmtId="0" fontId="8" fillId="11" borderId="0" xfId="0" applyFont="1" applyFill="1"/>
    <xf numFmtId="3" fontId="8" fillId="11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BDD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962025</xdr:colOff>
      <xdr:row>0</xdr:row>
      <xdr:rowOff>1419224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id="{5A3F23B4-B264-E051-53B2-5E96183FE2D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0425" cy="141922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3" sqref="A3"/>
    </sheetView>
  </sheetViews>
  <sheetFormatPr defaultColWidth="8.85546875" defaultRowHeight="15" x14ac:dyDescent="0.25"/>
  <cols>
    <col min="1" max="1" width="120" customWidth="1"/>
  </cols>
  <sheetData>
    <row r="1" spans="1:1" ht="18.95" customHeight="1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3"/>
  <sheetViews>
    <sheetView topLeftCell="A27" zoomScale="140" zoomScaleNormal="140" workbookViewId="0">
      <selection activeCell="D44" sqref="D44"/>
    </sheetView>
  </sheetViews>
  <sheetFormatPr defaultColWidth="8.85546875" defaultRowHeight="15" x14ac:dyDescent="0.25"/>
  <cols>
    <col min="1" max="1" width="68.85546875" bestFit="1" customWidth="1"/>
    <col min="2" max="2" width="11.5703125" bestFit="1" customWidth="1"/>
    <col min="3" max="3" width="21.85546875" bestFit="1" customWidth="1"/>
    <col min="4" max="4" width="20.140625" bestFit="1" customWidth="1"/>
    <col min="7" max="7" width="30" bestFit="1" customWidth="1"/>
    <col min="8" max="8" width="11.140625" bestFit="1" customWidth="1"/>
    <col min="9" max="9" width="10.7109375" customWidth="1"/>
    <col min="10" max="10" width="18.140625" bestFit="1" customWidth="1"/>
    <col min="13" max="13" width="19.5703125" bestFit="1" customWidth="1"/>
  </cols>
  <sheetData>
    <row r="1" spans="1:14" ht="18.95" customHeight="1" x14ac:dyDescent="0.3">
      <c r="A1" s="45" t="s">
        <v>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3" spans="1:14" x14ac:dyDescent="0.25">
      <c r="A3" s="4" t="s">
        <v>10</v>
      </c>
      <c r="B3" s="11" t="s">
        <v>320</v>
      </c>
      <c r="D3" s="4" t="s">
        <v>11</v>
      </c>
      <c r="E3" s="11">
        <v>54</v>
      </c>
      <c r="G3" s="4" t="s">
        <v>12</v>
      </c>
      <c r="H3" s="11">
        <v>0.22</v>
      </c>
      <c r="J3" s="4" t="s">
        <v>13</v>
      </c>
      <c r="K3" s="11">
        <v>1.5</v>
      </c>
      <c r="M3" s="4" t="s">
        <v>14</v>
      </c>
      <c r="N3">
        <v>0</v>
      </c>
    </row>
    <row r="4" spans="1:14" x14ac:dyDescent="0.25">
      <c r="G4" s="4" t="s">
        <v>15</v>
      </c>
      <c r="H4">
        <v>0</v>
      </c>
      <c r="J4" s="4" t="s">
        <v>16</v>
      </c>
      <c r="K4">
        <v>0</v>
      </c>
      <c r="M4" s="4" t="s">
        <v>17</v>
      </c>
      <c r="N4">
        <v>12</v>
      </c>
    </row>
    <row r="5" spans="1:14" x14ac:dyDescent="0.25">
      <c r="M5" s="4" t="s">
        <v>18</v>
      </c>
      <c r="N5">
        <f>H4*N3*N4</f>
        <v>0</v>
      </c>
    </row>
    <row r="6" spans="1:14" x14ac:dyDescent="0.25">
      <c r="M6" s="4" t="s">
        <v>19</v>
      </c>
      <c r="N6">
        <f>K4*N4</f>
        <v>0</v>
      </c>
    </row>
    <row r="8" spans="1:14" ht="18.95" customHeight="1" x14ac:dyDescent="0.3">
      <c r="A8" s="45" t="s">
        <v>20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10" spans="1:14" x14ac:dyDescent="0.25">
      <c r="A10" s="4" t="s">
        <v>21</v>
      </c>
    </row>
    <row r="11" spans="1:14" x14ac:dyDescent="0.25">
      <c r="A11" s="5" t="s">
        <v>22</v>
      </c>
      <c r="B11" s="5" t="s">
        <v>23</v>
      </c>
      <c r="C11" s="5" t="s">
        <v>24</v>
      </c>
      <c r="D11" s="5" t="s">
        <v>25</v>
      </c>
      <c r="E11" s="5" t="s">
        <v>26</v>
      </c>
    </row>
    <row r="12" spans="1:14" x14ac:dyDescent="0.25">
      <c r="A12" s="3" t="s">
        <v>27</v>
      </c>
      <c r="B12" s="12">
        <v>7997.98</v>
      </c>
      <c r="C12" s="12" t="s">
        <v>28</v>
      </c>
      <c r="D12" s="12" t="s">
        <v>29</v>
      </c>
      <c r="E12" s="12"/>
    </row>
    <row r="13" spans="1:14" x14ac:dyDescent="0.25">
      <c r="A13" s="3" t="s">
        <v>30</v>
      </c>
      <c r="B13" s="12">
        <v>2474.9</v>
      </c>
      <c r="C13" s="12" t="s">
        <v>28</v>
      </c>
      <c r="D13" s="12" t="s">
        <v>29</v>
      </c>
      <c r="E13" s="12"/>
    </row>
    <row r="14" spans="1:14" x14ac:dyDescent="0.25">
      <c r="A14" s="3" t="s">
        <v>31</v>
      </c>
      <c r="B14" s="12">
        <v>0</v>
      </c>
      <c r="C14" s="12" t="s">
        <v>29</v>
      </c>
      <c r="D14" s="12" t="s">
        <v>29</v>
      </c>
      <c r="E14" s="12"/>
    </row>
    <row r="15" spans="1:14" x14ac:dyDescent="0.25">
      <c r="A15" s="3" t="s">
        <v>32</v>
      </c>
      <c r="B15" s="12">
        <v>834.13</v>
      </c>
      <c r="C15" s="12" t="s">
        <v>29</v>
      </c>
      <c r="D15" s="12" t="s">
        <v>29</v>
      </c>
      <c r="E15" s="12"/>
    </row>
    <row r="16" spans="1:14" x14ac:dyDescent="0.25">
      <c r="A16" s="3" t="s">
        <v>33</v>
      </c>
      <c r="B16" s="12">
        <v>587.20000000000005</v>
      </c>
      <c r="C16" s="12" t="s">
        <v>29</v>
      </c>
      <c r="D16" s="12" t="s">
        <v>29</v>
      </c>
      <c r="E16" s="12"/>
    </row>
    <row r="17" spans="1:5" x14ac:dyDescent="0.25">
      <c r="A17" s="3" t="s">
        <v>34</v>
      </c>
      <c r="B17" s="12">
        <v>937.78</v>
      </c>
      <c r="C17" s="12" t="s">
        <v>29</v>
      </c>
      <c r="D17" s="12" t="s">
        <v>29</v>
      </c>
      <c r="E17" s="12"/>
    </row>
    <row r="18" spans="1:5" x14ac:dyDescent="0.25">
      <c r="A18" s="3" t="s">
        <v>35</v>
      </c>
      <c r="B18" s="12">
        <v>0</v>
      </c>
      <c r="C18" s="12" t="s">
        <v>29</v>
      </c>
      <c r="D18" s="12" t="s">
        <v>29</v>
      </c>
      <c r="E18" s="12"/>
    </row>
    <row r="19" spans="1:5" x14ac:dyDescent="0.25">
      <c r="A19" s="3" t="s">
        <v>36</v>
      </c>
      <c r="B19" s="12">
        <v>324.86</v>
      </c>
      <c r="C19" s="12" t="s">
        <v>29</v>
      </c>
      <c r="D19" s="12" t="s">
        <v>29</v>
      </c>
      <c r="E19" s="12"/>
    </row>
    <row r="20" spans="1:5" x14ac:dyDescent="0.25">
      <c r="A20" s="3" t="s">
        <v>37</v>
      </c>
      <c r="B20" s="12">
        <v>610.88</v>
      </c>
      <c r="C20" s="12" t="s">
        <v>29</v>
      </c>
      <c r="D20" s="12" t="s">
        <v>29</v>
      </c>
      <c r="E20" s="12"/>
    </row>
    <row r="21" spans="1:5" x14ac:dyDescent="0.25">
      <c r="A21" s="3" t="s">
        <v>38</v>
      </c>
      <c r="B21" s="12">
        <v>3475.66</v>
      </c>
      <c r="C21" s="12" t="s">
        <v>28</v>
      </c>
      <c r="D21" s="12" t="s">
        <v>29</v>
      </c>
      <c r="E21" s="12"/>
    </row>
    <row r="22" spans="1:5" x14ac:dyDescent="0.25">
      <c r="A22" s="3" t="s">
        <v>39</v>
      </c>
      <c r="B22" s="12">
        <v>983.25</v>
      </c>
      <c r="C22" s="12" t="s">
        <v>29</v>
      </c>
      <c r="D22" s="12" t="s">
        <v>29</v>
      </c>
      <c r="E22" s="12"/>
    </row>
    <row r="23" spans="1:5" x14ac:dyDescent="0.25">
      <c r="A23" s="3" t="s">
        <v>40</v>
      </c>
      <c r="B23" s="12">
        <v>0</v>
      </c>
      <c r="C23" s="12" t="s">
        <v>29</v>
      </c>
      <c r="D23" s="12" t="s">
        <v>29</v>
      </c>
      <c r="E23" s="12"/>
    </row>
    <row r="24" spans="1:5" x14ac:dyDescent="0.25">
      <c r="A24" s="3" t="s">
        <v>41</v>
      </c>
      <c r="B24" s="12">
        <v>0</v>
      </c>
      <c r="C24" s="12" t="s">
        <v>29</v>
      </c>
      <c r="D24" s="12" t="s">
        <v>29</v>
      </c>
      <c r="E24" s="12" t="s">
        <v>302</v>
      </c>
    </row>
    <row r="25" spans="1:5" x14ac:dyDescent="0.25">
      <c r="A25" s="3" t="s">
        <v>42</v>
      </c>
      <c r="B25" s="17">
        <v>0</v>
      </c>
      <c r="C25" s="17" t="s">
        <v>28</v>
      </c>
      <c r="D25" s="17" t="s">
        <v>29</v>
      </c>
      <c r="E25" s="17" t="s">
        <v>291</v>
      </c>
    </row>
    <row r="26" spans="1:5" x14ac:dyDescent="0.25">
      <c r="A26" s="37" t="s">
        <v>43</v>
      </c>
      <c r="B26" s="37">
        <v>0</v>
      </c>
      <c r="C26" s="37" t="s">
        <v>29</v>
      </c>
      <c r="D26" s="37" t="s">
        <v>29</v>
      </c>
      <c r="E26" s="37" t="s">
        <v>301</v>
      </c>
    </row>
    <row r="27" spans="1:5" x14ac:dyDescent="0.25">
      <c r="A27" s="37" t="s">
        <v>44</v>
      </c>
      <c r="B27" s="37">
        <v>0</v>
      </c>
      <c r="C27" s="37" t="s">
        <v>29</v>
      </c>
      <c r="D27" s="37" t="s">
        <v>29</v>
      </c>
      <c r="E27" s="37"/>
    </row>
    <row r="28" spans="1:5" x14ac:dyDescent="0.25">
      <c r="A28" s="37" t="s">
        <v>45</v>
      </c>
      <c r="B28" s="37">
        <v>0</v>
      </c>
      <c r="C28" s="37" t="s">
        <v>29</v>
      </c>
      <c r="D28" s="37" t="s">
        <v>29</v>
      </c>
      <c r="E28" s="37"/>
    </row>
    <row r="29" spans="1:5" x14ac:dyDescent="0.25">
      <c r="A29" s="37" t="s">
        <v>45</v>
      </c>
      <c r="B29" s="37">
        <v>0</v>
      </c>
      <c r="C29" s="37" t="s">
        <v>29</v>
      </c>
      <c r="D29" s="37" t="s">
        <v>29</v>
      </c>
      <c r="E29" s="37"/>
    </row>
    <row r="30" spans="1:5" x14ac:dyDescent="0.25">
      <c r="A30" s="37" t="s">
        <v>45</v>
      </c>
      <c r="B30" s="37">
        <v>0</v>
      </c>
      <c r="C30" s="37" t="s">
        <v>29</v>
      </c>
      <c r="D30" s="37" t="s">
        <v>29</v>
      </c>
      <c r="E30" s="37"/>
    </row>
    <row r="31" spans="1:5" x14ac:dyDescent="0.25">
      <c r="A31" s="37" t="s">
        <v>46</v>
      </c>
      <c r="B31" s="37">
        <v>0</v>
      </c>
      <c r="C31" s="37" t="s">
        <v>29</v>
      </c>
      <c r="D31" s="37" t="s">
        <v>29</v>
      </c>
      <c r="E31" s="37"/>
    </row>
    <row r="32" spans="1:5" x14ac:dyDescent="0.25">
      <c r="A32" s="37" t="s">
        <v>46</v>
      </c>
      <c r="B32" s="37">
        <v>0</v>
      </c>
      <c r="C32" s="37" t="s">
        <v>29</v>
      </c>
      <c r="D32" s="37" t="s">
        <v>29</v>
      </c>
      <c r="E32" s="37"/>
    </row>
    <row r="33" spans="1:5" x14ac:dyDescent="0.25">
      <c r="A33" s="37" t="s">
        <v>46</v>
      </c>
      <c r="B33" s="37">
        <v>0</v>
      </c>
      <c r="C33" s="37" t="s">
        <v>29</v>
      </c>
      <c r="D33" s="37" t="s">
        <v>29</v>
      </c>
      <c r="E33" s="37"/>
    </row>
    <row r="34" spans="1:5" x14ac:dyDescent="0.25">
      <c r="A34" s="37" t="s">
        <v>47</v>
      </c>
      <c r="B34" s="37">
        <v>0</v>
      </c>
      <c r="C34" s="37" t="s">
        <v>29</v>
      </c>
      <c r="D34" s="37" t="s">
        <v>29</v>
      </c>
      <c r="E34" s="37"/>
    </row>
    <row r="35" spans="1:5" x14ac:dyDescent="0.25">
      <c r="A35" s="37" t="s">
        <v>47</v>
      </c>
      <c r="B35" s="37">
        <v>0</v>
      </c>
      <c r="C35" s="37" t="s">
        <v>29</v>
      </c>
      <c r="D35" s="37" t="s">
        <v>29</v>
      </c>
      <c r="E35" s="37"/>
    </row>
    <row r="36" spans="1:5" x14ac:dyDescent="0.25">
      <c r="A36" s="37" t="s">
        <v>47</v>
      </c>
      <c r="B36" s="37">
        <v>0</v>
      </c>
      <c r="C36" s="37" t="s">
        <v>29</v>
      </c>
      <c r="D36" s="37" t="s">
        <v>29</v>
      </c>
      <c r="E36" s="37"/>
    </row>
    <row r="37" spans="1:5" x14ac:dyDescent="0.25">
      <c r="A37" s="37" t="s">
        <v>48</v>
      </c>
      <c r="B37" s="37">
        <v>0</v>
      </c>
      <c r="C37" s="37" t="s">
        <v>29</v>
      </c>
      <c r="D37" s="37" t="s">
        <v>29</v>
      </c>
      <c r="E37" s="37"/>
    </row>
    <row r="38" spans="1:5" x14ac:dyDescent="0.25">
      <c r="A38" s="3" t="s">
        <v>42</v>
      </c>
      <c r="B38" s="12">
        <v>0</v>
      </c>
      <c r="C38" s="12" t="s">
        <v>28</v>
      </c>
      <c r="D38" s="12" t="s">
        <v>29</v>
      </c>
      <c r="E38" s="12"/>
    </row>
    <row r="39" spans="1:5" x14ac:dyDescent="0.25">
      <c r="A39" s="3" t="s">
        <v>49</v>
      </c>
      <c r="B39" s="12">
        <v>0</v>
      </c>
      <c r="C39" s="12" t="s">
        <v>28</v>
      </c>
      <c r="D39" s="12" t="s">
        <v>28</v>
      </c>
      <c r="E39" s="12"/>
    </row>
    <row r="41" spans="1:5" x14ac:dyDescent="0.25">
      <c r="A41" s="4" t="s">
        <v>50</v>
      </c>
    </row>
    <row r="42" spans="1:5" x14ac:dyDescent="0.25">
      <c r="A42" t="s">
        <v>51</v>
      </c>
      <c r="B42" s="11">
        <v>1</v>
      </c>
    </row>
    <row r="43" spans="1:5" x14ac:dyDescent="0.25">
      <c r="A43" t="s">
        <v>52</v>
      </c>
      <c r="B43" s="11">
        <v>82</v>
      </c>
    </row>
    <row r="44" spans="1:5" x14ac:dyDescent="0.25">
      <c r="A44" t="s">
        <v>53</v>
      </c>
      <c r="B44" s="11">
        <v>10</v>
      </c>
    </row>
    <row r="45" spans="1:5" x14ac:dyDescent="0.25">
      <c r="A45" t="s">
        <v>54</v>
      </c>
      <c r="B45">
        <v>4</v>
      </c>
    </row>
    <row r="46" spans="1:5" x14ac:dyDescent="0.25">
      <c r="A46" t="s">
        <v>55</v>
      </c>
      <c r="B46">
        <v>7.2</v>
      </c>
    </row>
    <row r="47" spans="1:5" x14ac:dyDescent="0.25">
      <c r="A47" t="s">
        <v>56</v>
      </c>
      <c r="B47">
        <v>6</v>
      </c>
    </row>
    <row r="48" spans="1:5" x14ac:dyDescent="0.25">
      <c r="A48" t="s">
        <v>57</v>
      </c>
      <c r="B48" s="11">
        <v>0</v>
      </c>
    </row>
    <row r="50" spans="1:5" x14ac:dyDescent="0.25">
      <c r="A50" s="4" t="s">
        <v>58</v>
      </c>
    </row>
    <row r="51" spans="1:5" x14ac:dyDescent="0.25">
      <c r="A51" s="6" t="s">
        <v>59</v>
      </c>
      <c r="B51" s="6" t="s">
        <v>60</v>
      </c>
      <c r="C51" s="6" t="s">
        <v>61</v>
      </c>
      <c r="D51" s="6" t="s">
        <v>62</v>
      </c>
      <c r="E51" s="6" t="s">
        <v>63</v>
      </c>
    </row>
    <row r="52" spans="1:5" x14ac:dyDescent="0.25">
      <c r="A52" t="s">
        <v>64</v>
      </c>
      <c r="B52" s="11">
        <v>400</v>
      </c>
      <c r="C52">
        <v>13</v>
      </c>
      <c r="D52">
        <v>365</v>
      </c>
      <c r="E52">
        <v>0.6</v>
      </c>
    </row>
    <row r="53" spans="1:5" x14ac:dyDescent="0.25">
      <c r="A53" t="s">
        <v>65</v>
      </c>
      <c r="B53" s="11">
        <v>0</v>
      </c>
      <c r="C53">
        <v>11</v>
      </c>
      <c r="D53">
        <v>365</v>
      </c>
      <c r="E53">
        <v>0.6</v>
      </c>
    </row>
    <row r="54" spans="1:5" x14ac:dyDescent="0.25">
      <c r="A54" t="s">
        <v>66</v>
      </c>
      <c r="B54" s="11">
        <v>0</v>
      </c>
      <c r="C54">
        <v>11</v>
      </c>
      <c r="D54">
        <v>365</v>
      </c>
      <c r="E54">
        <v>0.6</v>
      </c>
    </row>
    <row r="55" spans="1:5" x14ac:dyDescent="0.25">
      <c r="A55" t="s">
        <v>67</v>
      </c>
      <c r="B55" s="11">
        <v>800</v>
      </c>
      <c r="C55">
        <v>6</v>
      </c>
      <c r="D55">
        <v>365</v>
      </c>
      <c r="E55">
        <v>1</v>
      </c>
    </row>
    <row r="56" spans="1:5" x14ac:dyDescent="0.25">
      <c r="A56" t="s">
        <v>68</v>
      </c>
      <c r="B56" s="11">
        <v>0</v>
      </c>
      <c r="C56">
        <v>11</v>
      </c>
      <c r="D56">
        <v>365</v>
      </c>
      <c r="E56">
        <v>1</v>
      </c>
    </row>
    <row r="57" spans="1:5" x14ac:dyDescent="0.25">
      <c r="A57" t="s">
        <v>69</v>
      </c>
      <c r="B57" s="11">
        <v>50</v>
      </c>
      <c r="C57">
        <v>6</v>
      </c>
      <c r="D57">
        <v>365</v>
      </c>
      <c r="E57">
        <v>1</v>
      </c>
    </row>
    <row r="58" spans="1:5" x14ac:dyDescent="0.25">
      <c r="A58" t="s">
        <v>70</v>
      </c>
      <c r="B58" s="11">
        <v>0</v>
      </c>
      <c r="C58">
        <v>6</v>
      </c>
      <c r="D58">
        <v>365</v>
      </c>
      <c r="E58">
        <v>1</v>
      </c>
    </row>
    <row r="60" spans="1:5" x14ac:dyDescent="0.25">
      <c r="A60" s="4" t="s">
        <v>71</v>
      </c>
    </row>
    <row r="61" spans="1:5" x14ac:dyDescent="0.25">
      <c r="A61" t="s">
        <v>72</v>
      </c>
      <c r="B61" s="11">
        <v>0</v>
      </c>
    </row>
    <row r="62" spans="1:5" x14ac:dyDescent="0.25">
      <c r="A62" t="s">
        <v>73</v>
      </c>
      <c r="B62" s="11" t="s">
        <v>28</v>
      </c>
    </row>
    <row r="63" spans="1:5" x14ac:dyDescent="0.25">
      <c r="A63" t="s">
        <v>74</v>
      </c>
      <c r="B63">
        <v>0.1</v>
      </c>
    </row>
    <row r="64" spans="1:5" x14ac:dyDescent="0.25">
      <c r="A64" t="s">
        <v>75</v>
      </c>
      <c r="B64">
        <v>12</v>
      </c>
    </row>
    <row r="65" spans="1:17" x14ac:dyDescent="0.25">
      <c r="A65" t="s">
        <v>76</v>
      </c>
      <c r="B65">
        <v>365</v>
      </c>
    </row>
    <row r="67" spans="1:17" x14ac:dyDescent="0.25">
      <c r="A67" s="4" t="s">
        <v>77</v>
      </c>
    </row>
    <row r="68" spans="1:17" x14ac:dyDescent="0.25">
      <c r="A68" t="s">
        <v>78</v>
      </c>
      <c r="B68" s="11" t="s">
        <v>319</v>
      </c>
    </row>
    <row r="69" spans="1:17" x14ac:dyDescent="0.25">
      <c r="A69" t="s">
        <v>79</v>
      </c>
      <c r="B69" s="11">
        <v>0</v>
      </c>
    </row>
    <row r="70" spans="1:17" x14ac:dyDescent="0.25">
      <c r="A70" t="s">
        <v>80</v>
      </c>
      <c r="B70">
        <v>1</v>
      </c>
      <c r="K70" s="13">
        <v>1</v>
      </c>
      <c r="L70" s="13">
        <v>1.5</v>
      </c>
      <c r="M70" s="13">
        <v>2</v>
      </c>
      <c r="N70" s="13">
        <v>2.5</v>
      </c>
      <c r="O70" s="13">
        <v>3</v>
      </c>
      <c r="P70" s="13">
        <v>3.5</v>
      </c>
      <c r="Q70" s="13">
        <v>4</v>
      </c>
    </row>
    <row r="71" spans="1:17" x14ac:dyDescent="0.25">
      <c r="A71" t="s">
        <v>81</v>
      </c>
      <c r="B71">
        <v>0.5</v>
      </c>
    </row>
    <row r="72" spans="1:17" x14ac:dyDescent="0.25">
      <c r="A72" t="s">
        <v>82</v>
      </c>
      <c r="B72">
        <v>8</v>
      </c>
    </row>
    <row r="73" spans="1:17" x14ac:dyDescent="0.25">
      <c r="A73" t="s">
        <v>83</v>
      </c>
      <c r="B73">
        <v>180</v>
      </c>
    </row>
    <row r="74" spans="1:17" x14ac:dyDescent="0.25">
      <c r="A74" t="s">
        <v>84</v>
      </c>
      <c r="B74">
        <v>0.85</v>
      </c>
    </row>
    <row r="75" spans="1:17" x14ac:dyDescent="0.25">
      <c r="A75" t="s">
        <v>85</v>
      </c>
      <c r="B75">
        <v>4</v>
      </c>
    </row>
    <row r="76" spans="1:17" x14ac:dyDescent="0.25">
      <c r="A76" t="s">
        <v>80</v>
      </c>
      <c r="B76">
        <v>2</v>
      </c>
    </row>
    <row r="77" spans="1:17" x14ac:dyDescent="0.25">
      <c r="A77" t="s">
        <v>86</v>
      </c>
      <c r="B77">
        <v>0.7</v>
      </c>
    </row>
    <row r="78" spans="1:17" x14ac:dyDescent="0.25">
      <c r="A78" t="s">
        <v>87</v>
      </c>
      <c r="B78">
        <v>12</v>
      </c>
    </row>
    <row r="79" spans="1:17" x14ac:dyDescent="0.25">
      <c r="A79" t="s">
        <v>88</v>
      </c>
      <c r="B79">
        <v>365</v>
      </c>
    </row>
    <row r="81" spans="1:9" x14ac:dyDescent="0.25">
      <c r="A81" s="4" t="s">
        <v>89</v>
      </c>
    </row>
    <row r="82" spans="1:9" x14ac:dyDescent="0.25">
      <c r="A82" t="s">
        <v>90</v>
      </c>
      <c r="B82">
        <f>INDEX(Lookups_References!$B$50:$B$54, MATCH("Heating EUI (kWh/ft²·yr) — HP min-eff", Lookups_References!$A$50:$A$54, 0))</f>
        <v>2</v>
      </c>
    </row>
    <row r="83" spans="1:9" x14ac:dyDescent="0.25">
      <c r="A83" t="s">
        <v>91</v>
      </c>
      <c r="B83">
        <f>INDEX(Lookups_References!$B$50:$B$54, MATCH("Cooling EUI (kWh/ft²·yr) — HP min-eff", Lookups_References!$A$50:$A$54, 0))</f>
        <v>1.5</v>
      </c>
    </row>
    <row r="84" spans="1:9" x14ac:dyDescent="0.25">
      <c r="A84" t="s">
        <v>92</v>
      </c>
      <c r="B84">
        <f>INDEX(Lookups_References!$B$50:$B$54, MATCH("Ventilation W/ft² (balanced const-speed)", Lookups_References!$A$50:$A$54, 0))</f>
        <v>0.3</v>
      </c>
    </row>
    <row r="85" spans="1:9" x14ac:dyDescent="0.25">
      <c r="A85" t="s">
        <v>93</v>
      </c>
      <c r="B85">
        <f>INDEX(Lookups_References!$B$50:$B$54, MATCH("Vent Hours/Day (constant)", Lookups_References!$A$50:$A$54, 0))</f>
        <v>24</v>
      </c>
    </row>
    <row r="86" spans="1:9" x14ac:dyDescent="0.25">
      <c r="A86" t="s">
        <v>76</v>
      </c>
      <c r="B86">
        <f>INDEX(Lookups_References!$B$50:$B$54, MATCH("Vent Days/Year", Lookups_References!$A$50:$A$54, 0))</f>
        <v>365</v>
      </c>
    </row>
    <row r="87" spans="1:9" x14ac:dyDescent="0.25">
      <c r="A87" t="s">
        <v>75</v>
      </c>
      <c r="B87">
        <v>12</v>
      </c>
    </row>
    <row r="88" spans="1:9" x14ac:dyDescent="0.25">
      <c r="A88" t="s">
        <v>76</v>
      </c>
      <c r="B88">
        <v>365</v>
      </c>
    </row>
    <row r="90" spans="1:9" x14ac:dyDescent="0.25">
      <c r="A90" s="4" t="s">
        <v>94</v>
      </c>
    </row>
    <row r="91" spans="1:9" x14ac:dyDescent="0.25">
      <c r="A91" s="6" t="s">
        <v>95</v>
      </c>
      <c r="B91" s="6" t="s">
        <v>23</v>
      </c>
      <c r="C91" s="6" t="s">
        <v>96</v>
      </c>
      <c r="D91" s="6" t="s">
        <v>97</v>
      </c>
      <c r="E91" s="6" t="s">
        <v>63</v>
      </c>
      <c r="F91" s="6" t="s">
        <v>98</v>
      </c>
      <c r="G91" s="6" t="s">
        <v>99</v>
      </c>
      <c r="H91" s="6" t="s">
        <v>100</v>
      </c>
      <c r="I91" s="6" t="s">
        <v>101</v>
      </c>
    </row>
    <row r="92" spans="1:9" x14ac:dyDescent="0.25">
      <c r="A92" t="s">
        <v>27</v>
      </c>
      <c r="B92">
        <f>IFERROR(VLOOKUP(A92,$A$12:$B$39,2,FALSE),0)</f>
        <v>7997.98</v>
      </c>
      <c r="C92">
        <f>IFERROR(VLOOKUP(A92,Lookups_References!$A$3:$B$200,2,FALSE),"")</f>
        <v>0.4</v>
      </c>
      <c r="D92">
        <v>4380</v>
      </c>
      <c r="E92">
        <v>0.8</v>
      </c>
      <c r="F92">
        <v>0.9</v>
      </c>
      <c r="G92">
        <f t="shared" ref="G92:G106" si="0">B92*C92/1000</f>
        <v>3.199192</v>
      </c>
      <c r="H92" s="7">
        <f t="shared" ref="H92:H117" si="1">G92*D92*E92*F92</f>
        <v>10088.971891200001</v>
      </c>
      <c r="I92" s="9">
        <f t="shared" ref="I92:I117" si="2">H92*$H$3</f>
        <v>2219.5738160640003</v>
      </c>
    </row>
    <row r="93" spans="1:9" x14ac:dyDescent="0.25">
      <c r="A93" t="s">
        <v>30</v>
      </c>
      <c r="B93">
        <f t="shared" ref="B93:B117" si="3">IFERROR(VLOOKUP(A93,$A$12:$B$39,2,FALSE),0)</f>
        <v>2474.9</v>
      </c>
      <c r="C93">
        <f>IFERROR(VLOOKUP(A93,Lookups_References!$A$3:$B$200,2,FALSE),"")</f>
        <v>0.6</v>
      </c>
      <c r="D93">
        <v>8760</v>
      </c>
      <c r="E93">
        <v>0.8</v>
      </c>
      <c r="F93">
        <v>1</v>
      </c>
      <c r="G93">
        <f t="shared" si="0"/>
        <v>1.4849400000000001</v>
      </c>
      <c r="H93" s="7">
        <f t="shared" si="1"/>
        <v>10406.459520000002</v>
      </c>
      <c r="I93" s="9">
        <f t="shared" si="2"/>
        <v>2289.4210944000006</v>
      </c>
    </row>
    <row r="94" spans="1:9" x14ac:dyDescent="0.25">
      <c r="A94" t="s">
        <v>31</v>
      </c>
      <c r="B94">
        <f t="shared" si="3"/>
        <v>0</v>
      </c>
      <c r="C94">
        <f>IFERROR(VLOOKUP(A94,Lookups_References!$A$3:$B$200,2,FALSE),"")</f>
        <v>0.7</v>
      </c>
      <c r="D94">
        <v>4380</v>
      </c>
      <c r="E94">
        <v>0.8</v>
      </c>
      <c r="F94">
        <v>1</v>
      </c>
      <c r="G94">
        <f t="shared" si="0"/>
        <v>0</v>
      </c>
      <c r="H94" s="7">
        <f t="shared" si="1"/>
        <v>0</v>
      </c>
      <c r="I94" s="9">
        <f t="shared" si="2"/>
        <v>0</v>
      </c>
    </row>
    <row r="95" spans="1:9" x14ac:dyDescent="0.25">
      <c r="A95" t="s">
        <v>32</v>
      </c>
      <c r="B95">
        <f t="shared" si="3"/>
        <v>834.13</v>
      </c>
      <c r="C95">
        <f>IFERROR(VLOOKUP(A95,Lookups_References!$A$3:$B$200,2,FALSE),"")</f>
        <v>0.55000000000000004</v>
      </c>
      <c r="D95">
        <v>3000</v>
      </c>
      <c r="E95">
        <v>0.8</v>
      </c>
      <c r="F95">
        <v>1</v>
      </c>
      <c r="G95">
        <f t="shared" si="0"/>
        <v>0.45877150000000005</v>
      </c>
      <c r="H95" s="7">
        <f t="shared" si="1"/>
        <v>1101.0516000000002</v>
      </c>
      <c r="I95" s="9">
        <f t="shared" si="2"/>
        <v>242.23135200000004</v>
      </c>
    </row>
    <row r="96" spans="1:9" x14ac:dyDescent="0.25">
      <c r="A96" t="s">
        <v>33</v>
      </c>
      <c r="B96">
        <f t="shared" si="3"/>
        <v>587.20000000000005</v>
      </c>
      <c r="C96">
        <f>IFERROR(VLOOKUP(A96,Lookups_References!$A$3:$B$200,2,FALSE),"")</f>
        <v>0.5</v>
      </c>
      <c r="D96">
        <v>3500</v>
      </c>
      <c r="E96">
        <v>0.8</v>
      </c>
      <c r="F96">
        <v>1</v>
      </c>
      <c r="G96">
        <f t="shared" si="0"/>
        <v>0.29360000000000003</v>
      </c>
      <c r="H96" s="7">
        <f t="shared" si="1"/>
        <v>822.08000000000015</v>
      </c>
      <c r="I96" s="9">
        <f t="shared" si="2"/>
        <v>180.85760000000005</v>
      </c>
    </row>
    <row r="97" spans="1:9" x14ac:dyDescent="0.25">
      <c r="A97" t="s">
        <v>34</v>
      </c>
      <c r="B97">
        <f t="shared" si="3"/>
        <v>937.78</v>
      </c>
      <c r="C97">
        <f>IFERROR(VLOOKUP(A97,Lookups_References!$A$3:$B$200,2,FALSE),"")</f>
        <v>0.6</v>
      </c>
      <c r="D97">
        <v>3000</v>
      </c>
      <c r="E97">
        <v>0.8</v>
      </c>
      <c r="F97">
        <v>1</v>
      </c>
      <c r="G97">
        <f t="shared" si="0"/>
        <v>0.56266800000000006</v>
      </c>
      <c r="H97" s="7">
        <f t="shared" si="1"/>
        <v>1350.4032000000002</v>
      </c>
      <c r="I97" s="9">
        <f t="shared" si="2"/>
        <v>297.08870400000006</v>
      </c>
    </row>
    <row r="98" spans="1:9" x14ac:dyDescent="0.25">
      <c r="A98" t="s">
        <v>35</v>
      </c>
      <c r="B98">
        <f t="shared" si="3"/>
        <v>0</v>
      </c>
      <c r="C98">
        <f>IFERROR(VLOOKUP(A98,Lookups_References!$A$3:$B$200,2,FALSE),"")</f>
        <v>0.65</v>
      </c>
      <c r="D98">
        <v>3000</v>
      </c>
      <c r="E98">
        <v>0.8</v>
      </c>
      <c r="F98">
        <v>1</v>
      </c>
      <c r="G98">
        <f t="shared" si="0"/>
        <v>0</v>
      </c>
      <c r="H98" s="7">
        <f t="shared" si="1"/>
        <v>0</v>
      </c>
      <c r="I98" s="9">
        <f t="shared" si="2"/>
        <v>0</v>
      </c>
    </row>
    <row r="99" spans="1:9" x14ac:dyDescent="0.25">
      <c r="A99" t="s">
        <v>36</v>
      </c>
      <c r="B99">
        <f t="shared" si="3"/>
        <v>324.86</v>
      </c>
      <c r="C99">
        <f>IFERROR(VLOOKUP(A99,Lookups_References!$A$3:$B$200,2,FALSE),"")</f>
        <v>0.65</v>
      </c>
      <c r="D99">
        <v>4380</v>
      </c>
      <c r="E99">
        <v>0.8</v>
      </c>
      <c r="F99">
        <v>1</v>
      </c>
      <c r="G99">
        <f t="shared" si="0"/>
        <v>0.21115900000000001</v>
      </c>
      <c r="H99" s="7">
        <f t="shared" si="1"/>
        <v>739.90113600000006</v>
      </c>
      <c r="I99" s="9">
        <f t="shared" si="2"/>
        <v>162.77824992000001</v>
      </c>
    </row>
    <row r="100" spans="1:9" x14ac:dyDescent="0.25">
      <c r="A100" t="s">
        <v>37</v>
      </c>
      <c r="B100">
        <f t="shared" si="3"/>
        <v>610.88</v>
      </c>
      <c r="C100">
        <f>IFERROR(VLOOKUP(A100,Lookups_References!$A$3:$B$200,2,FALSE),"")</f>
        <v>0.45</v>
      </c>
      <c r="D100">
        <v>3000</v>
      </c>
      <c r="E100">
        <v>0.8</v>
      </c>
      <c r="F100">
        <v>1</v>
      </c>
      <c r="G100">
        <f t="shared" si="0"/>
        <v>0.27489600000000003</v>
      </c>
      <c r="H100" s="7">
        <f t="shared" si="1"/>
        <v>659.75040000000013</v>
      </c>
      <c r="I100" s="9">
        <f t="shared" si="2"/>
        <v>145.14508800000002</v>
      </c>
    </row>
    <row r="101" spans="1:9" x14ac:dyDescent="0.25">
      <c r="A101" t="s">
        <v>38</v>
      </c>
      <c r="B101">
        <f t="shared" si="3"/>
        <v>3475.66</v>
      </c>
      <c r="C101">
        <f>IFERROR(VLOOKUP(A101,Lookups_References!$A$3:$B$200,2,FALSE),"")</f>
        <v>0.4</v>
      </c>
      <c r="D101">
        <v>3000</v>
      </c>
      <c r="E101">
        <v>0.8</v>
      </c>
      <c r="F101">
        <v>1</v>
      </c>
      <c r="G101">
        <f t="shared" si="0"/>
        <v>1.3902640000000002</v>
      </c>
      <c r="H101" s="7">
        <f t="shared" si="1"/>
        <v>3336.6336000000006</v>
      </c>
      <c r="I101" s="9">
        <f t="shared" si="2"/>
        <v>734.05939200000012</v>
      </c>
    </row>
    <row r="102" spans="1:9" x14ac:dyDescent="0.25">
      <c r="A102" t="s">
        <v>39</v>
      </c>
      <c r="B102">
        <f t="shared" si="3"/>
        <v>983.25</v>
      </c>
      <c r="C102">
        <f>IFERROR(VLOOKUP(A102,Lookups_References!$A$3:$B$200,2,FALSE),"")</f>
        <v>0.4</v>
      </c>
      <c r="D102">
        <v>3000</v>
      </c>
      <c r="E102">
        <v>0.8</v>
      </c>
      <c r="F102">
        <v>1</v>
      </c>
      <c r="G102">
        <f t="shared" si="0"/>
        <v>0.39330000000000004</v>
      </c>
      <c r="H102" s="7">
        <f t="shared" si="1"/>
        <v>943.92000000000007</v>
      </c>
      <c r="I102" s="9">
        <f t="shared" si="2"/>
        <v>207.66240000000002</v>
      </c>
    </row>
    <row r="103" spans="1:9" x14ac:dyDescent="0.25">
      <c r="A103" t="s">
        <v>40</v>
      </c>
      <c r="B103">
        <f t="shared" si="3"/>
        <v>0</v>
      </c>
      <c r="C103">
        <f>IFERROR(VLOOKUP(A103,Lookups_References!$A$3:$B$200,2,FALSE),"")</f>
        <v>0.95</v>
      </c>
      <c r="D103">
        <v>3500</v>
      </c>
      <c r="E103">
        <v>0.8</v>
      </c>
      <c r="F103">
        <v>1</v>
      </c>
      <c r="G103">
        <f t="shared" si="0"/>
        <v>0</v>
      </c>
      <c r="H103" s="7">
        <f t="shared" si="1"/>
        <v>0</v>
      </c>
      <c r="I103" s="9">
        <f t="shared" si="2"/>
        <v>0</v>
      </c>
    </row>
    <row r="104" spans="1:9" x14ac:dyDescent="0.25">
      <c r="A104" t="s">
        <v>41</v>
      </c>
      <c r="B104">
        <f t="shared" si="3"/>
        <v>0</v>
      </c>
      <c r="C104">
        <f>IFERROR(VLOOKUP(A104,Lookups_References!$A$3:$B$200,2,FALSE),"")</f>
        <v>0.55000000000000004</v>
      </c>
      <c r="D104">
        <v>3500</v>
      </c>
      <c r="E104">
        <v>0.8</v>
      </c>
      <c r="F104">
        <v>1</v>
      </c>
      <c r="G104">
        <f t="shared" si="0"/>
        <v>0</v>
      </c>
      <c r="H104" s="7">
        <f t="shared" si="1"/>
        <v>0</v>
      </c>
      <c r="I104" s="9">
        <f t="shared" si="2"/>
        <v>0</v>
      </c>
    </row>
    <row r="105" spans="1:9" x14ac:dyDescent="0.25">
      <c r="A105" t="s">
        <v>42</v>
      </c>
      <c r="B105">
        <f t="shared" si="3"/>
        <v>0</v>
      </c>
      <c r="C105">
        <f>IFERROR(VLOOKUP(A105,Lookups_References!$A$3:$B$200,2,FALSE),"")</f>
        <v>0.3</v>
      </c>
      <c r="D105">
        <v>3000</v>
      </c>
      <c r="E105">
        <v>0.8</v>
      </c>
      <c r="F105">
        <v>1</v>
      </c>
      <c r="G105">
        <f t="shared" si="0"/>
        <v>0</v>
      </c>
      <c r="H105" s="7">
        <f t="shared" si="1"/>
        <v>0</v>
      </c>
      <c r="I105" s="9">
        <f t="shared" si="2"/>
        <v>0</v>
      </c>
    </row>
    <row r="106" spans="1:9" x14ac:dyDescent="0.25">
      <c r="A106" t="s">
        <v>43</v>
      </c>
      <c r="B106">
        <f t="shared" si="3"/>
        <v>0</v>
      </c>
      <c r="C106">
        <f>IFERROR(VLOOKUP(A106,Lookups_References!$A$3:$B$200,2,FALSE),"")</f>
        <v>0</v>
      </c>
      <c r="D106">
        <v>3000</v>
      </c>
      <c r="E106">
        <v>0.8</v>
      </c>
      <c r="F106">
        <v>1</v>
      </c>
      <c r="G106">
        <f t="shared" si="0"/>
        <v>0</v>
      </c>
      <c r="H106" s="7">
        <f t="shared" si="1"/>
        <v>0</v>
      </c>
      <c r="I106" s="9">
        <f t="shared" si="2"/>
        <v>0</v>
      </c>
    </row>
    <row r="107" spans="1:9" x14ac:dyDescent="0.25">
      <c r="A107" t="s">
        <v>44</v>
      </c>
      <c r="B107">
        <f t="shared" si="3"/>
        <v>0</v>
      </c>
      <c r="C107" t="str">
        <f>IFERROR(VLOOKUP(A107,Lookups_References!$A$3:$B$200,2,FALSE),"")</f>
        <v>Class (kW range)</v>
      </c>
      <c r="D107">
        <v>3000</v>
      </c>
      <c r="E107">
        <v>0.8</v>
      </c>
      <c r="F107">
        <v>1</v>
      </c>
      <c r="G107">
        <f t="shared" ref="G107:G117" si="4">IFERROR(B107*C107/1000,0)</f>
        <v>0</v>
      </c>
      <c r="H107" s="7">
        <f t="shared" si="1"/>
        <v>0</v>
      </c>
      <c r="I107" s="9">
        <f t="shared" si="2"/>
        <v>0</v>
      </c>
    </row>
    <row r="108" spans="1:9" x14ac:dyDescent="0.25">
      <c r="A108" t="s">
        <v>45</v>
      </c>
      <c r="B108">
        <f t="shared" si="3"/>
        <v>0</v>
      </c>
      <c r="C108" t="str">
        <f>IFERROR(VLOOKUP(A108,Lookups_References!$A$3:$B$200,2,FALSE),"")</f>
        <v>Small (≤20 kW)</v>
      </c>
      <c r="D108">
        <v>3000</v>
      </c>
      <c r="E108">
        <v>0.8</v>
      </c>
      <c r="F108">
        <v>1</v>
      </c>
      <c r="G108">
        <f t="shared" si="4"/>
        <v>0</v>
      </c>
      <c r="H108" s="7">
        <f t="shared" si="1"/>
        <v>0</v>
      </c>
      <c r="I108" s="9">
        <f t="shared" si="2"/>
        <v>0</v>
      </c>
    </row>
    <row r="109" spans="1:9" x14ac:dyDescent="0.25">
      <c r="A109" t="s">
        <v>45</v>
      </c>
      <c r="B109">
        <f t="shared" si="3"/>
        <v>0</v>
      </c>
      <c r="C109" t="str">
        <f>IFERROR(VLOOKUP(A109,Lookups_References!$A$3:$B$200,2,FALSE),"")</f>
        <v>Small (≤20 kW)</v>
      </c>
      <c r="D109">
        <v>3000</v>
      </c>
      <c r="E109">
        <v>0.8</v>
      </c>
      <c r="F109">
        <v>1</v>
      </c>
      <c r="G109">
        <f t="shared" si="4"/>
        <v>0</v>
      </c>
      <c r="H109" s="7">
        <f t="shared" si="1"/>
        <v>0</v>
      </c>
      <c r="I109" s="9">
        <f t="shared" si="2"/>
        <v>0</v>
      </c>
    </row>
    <row r="110" spans="1:9" x14ac:dyDescent="0.25">
      <c r="A110" t="s">
        <v>45</v>
      </c>
      <c r="B110">
        <f t="shared" si="3"/>
        <v>0</v>
      </c>
      <c r="C110" t="str">
        <f>IFERROR(VLOOKUP(A110,Lookups_References!$A$3:$B$200,2,FALSE),"")</f>
        <v>Small (≤20 kW)</v>
      </c>
      <c r="D110">
        <v>3000</v>
      </c>
      <c r="E110">
        <v>0.8</v>
      </c>
      <c r="F110">
        <v>1</v>
      </c>
      <c r="G110">
        <f t="shared" si="4"/>
        <v>0</v>
      </c>
      <c r="H110" s="7">
        <f t="shared" si="1"/>
        <v>0</v>
      </c>
      <c r="I110" s="9">
        <f t="shared" si="2"/>
        <v>0</v>
      </c>
    </row>
    <row r="111" spans="1:9" x14ac:dyDescent="0.25">
      <c r="A111" t="s">
        <v>46</v>
      </c>
      <c r="B111">
        <f t="shared" si="3"/>
        <v>0</v>
      </c>
      <c r="C111" t="str">
        <f>IFERROR(VLOOKUP(A111,Lookups_References!$A$3:$B$200,2,FALSE),"")</f>
        <v>Small (≤20 kW)</v>
      </c>
      <c r="D111">
        <v>3000</v>
      </c>
      <c r="E111">
        <v>0.8</v>
      </c>
      <c r="F111">
        <v>1</v>
      </c>
      <c r="G111">
        <f t="shared" si="4"/>
        <v>0</v>
      </c>
      <c r="H111" s="7">
        <f t="shared" si="1"/>
        <v>0</v>
      </c>
      <c r="I111" s="9">
        <f t="shared" si="2"/>
        <v>0</v>
      </c>
    </row>
    <row r="112" spans="1:9" x14ac:dyDescent="0.25">
      <c r="A112" t="s">
        <v>46</v>
      </c>
      <c r="B112">
        <f t="shared" si="3"/>
        <v>0</v>
      </c>
      <c r="C112" t="str">
        <f>IFERROR(VLOOKUP(A112,Lookups_References!$A$3:$B$200,2,FALSE),"")</f>
        <v>Small (≤20 kW)</v>
      </c>
      <c r="D112">
        <v>3000</v>
      </c>
      <c r="E112">
        <v>0.8</v>
      </c>
      <c r="F112">
        <v>1</v>
      </c>
      <c r="G112">
        <f t="shared" si="4"/>
        <v>0</v>
      </c>
      <c r="H112" s="7">
        <f t="shared" si="1"/>
        <v>0</v>
      </c>
      <c r="I112" s="9">
        <f t="shared" si="2"/>
        <v>0</v>
      </c>
    </row>
    <row r="113" spans="1:9" x14ac:dyDescent="0.25">
      <c r="A113" t="s">
        <v>46</v>
      </c>
      <c r="B113">
        <f t="shared" si="3"/>
        <v>0</v>
      </c>
      <c r="C113" t="str">
        <f>IFERROR(VLOOKUP(A113,Lookups_References!$A$3:$B$200,2,FALSE),"")</f>
        <v>Small (≤20 kW)</v>
      </c>
      <c r="D113">
        <v>3000</v>
      </c>
      <c r="E113">
        <v>0.8</v>
      </c>
      <c r="F113">
        <v>1</v>
      </c>
      <c r="G113">
        <f t="shared" si="4"/>
        <v>0</v>
      </c>
      <c r="H113" s="7">
        <f t="shared" si="1"/>
        <v>0</v>
      </c>
      <c r="I113" s="9">
        <f t="shared" si="2"/>
        <v>0</v>
      </c>
    </row>
    <row r="114" spans="1:9" x14ac:dyDescent="0.25">
      <c r="A114" t="s">
        <v>47</v>
      </c>
      <c r="B114">
        <f t="shared" si="3"/>
        <v>0</v>
      </c>
      <c r="C114" t="str">
        <f>IFERROR(VLOOKUP(A114,Lookups_References!$A$3:$B$200,2,FALSE),"")</f>
        <v>Small (≤20 kW)</v>
      </c>
      <c r="D114">
        <v>3000</v>
      </c>
      <c r="E114">
        <v>0.8</v>
      </c>
      <c r="F114">
        <v>1</v>
      </c>
      <c r="G114">
        <f t="shared" si="4"/>
        <v>0</v>
      </c>
      <c r="H114" s="7">
        <f t="shared" si="1"/>
        <v>0</v>
      </c>
      <c r="I114" s="9">
        <f t="shared" si="2"/>
        <v>0</v>
      </c>
    </row>
    <row r="115" spans="1:9" x14ac:dyDescent="0.25">
      <c r="A115" t="s">
        <v>47</v>
      </c>
      <c r="B115">
        <f t="shared" si="3"/>
        <v>0</v>
      </c>
      <c r="C115" t="str">
        <f>IFERROR(VLOOKUP(A115,Lookups_References!$A$3:$B$200,2,FALSE),"")</f>
        <v>Small (≤20 kW)</v>
      </c>
      <c r="D115">
        <v>3000</v>
      </c>
      <c r="E115">
        <v>0.8</v>
      </c>
      <c r="F115">
        <v>1</v>
      </c>
      <c r="G115">
        <f t="shared" si="4"/>
        <v>0</v>
      </c>
      <c r="H115" s="7">
        <f t="shared" si="1"/>
        <v>0</v>
      </c>
      <c r="I115" s="9">
        <f t="shared" si="2"/>
        <v>0</v>
      </c>
    </row>
    <row r="116" spans="1:9" x14ac:dyDescent="0.25">
      <c r="A116" t="s">
        <v>47</v>
      </c>
      <c r="B116">
        <f t="shared" si="3"/>
        <v>0</v>
      </c>
      <c r="C116" t="str">
        <f>IFERROR(VLOOKUP(A116,Lookups_References!$A$3:$B$200,2,FALSE),"")</f>
        <v>Small (≤20 kW)</v>
      </c>
      <c r="D116">
        <v>3000</v>
      </c>
      <c r="E116">
        <v>0.8</v>
      </c>
      <c r="F116">
        <v>1</v>
      </c>
      <c r="G116">
        <f t="shared" si="4"/>
        <v>0</v>
      </c>
      <c r="H116" s="7">
        <f t="shared" si="1"/>
        <v>0</v>
      </c>
      <c r="I116" s="9">
        <f t="shared" si="2"/>
        <v>0</v>
      </c>
    </row>
    <row r="117" spans="1:9" x14ac:dyDescent="0.25">
      <c r="A117" t="s">
        <v>48</v>
      </c>
      <c r="B117">
        <f t="shared" si="3"/>
        <v>0</v>
      </c>
      <c r="C117" t="str">
        <f>IFERROR(VLOOKUP(A117,Lookups_References!$A$3:$B$200,2,FALSE),"")</f>
        <v>Any</v>
      </c>
      <c r="D117">
        <v>3000</v>
      </c>
      <c r="E117">
        <v>0.8</v>
      </c>
      <c r="F117">
        <v>1</v>
      </c>
      <c r="G117">
        <f t="shared" si="4"/>
        <v>0</v>
      </c>
      <c r="H117" s="7">
        <f t="shared" si="1"/>
        <v>0</v>
      </c>
      <c r="I117" s="9">
        <f t="shared" si="2"/>
        <v>0</v>
      </c>
    </row>
    <row r="118" spans="1:9" x14ac:dyDescent="0.25">
      <c r="H118" s="8" t="s">
        <v>102</v>
      </c>
      <c r="I118" s="10" t="s">
        <v>103</v>
      </c>
    </row>
    <row r="119" spans="1:9" x14ac:dyDescent="0.25">
      <c r="H119" s="7">
        <f>SUM(H92:H117)</f>
        <v>29449.171347200005</v>
      </c>
      <c r="I119" s="9">
        <f>SUM(I92:I117)</f>
        <v>6478.8176963840015</v>
      </c>
    </row>
    <row r="121" spans="1:9" x14ac:dyDescent="0.25">
      <c r="A121" s="4" t="s">
        <v>104</v>
      </c>
    </row>
    <row r="122" spans="1:9" x14ac:dyDescent="0.25">
      <c r="A122" t="s">
        <v>51</v>
      </c>
      <c r="B122">
        <v>2</v>
      </c>
    </row>
    <row r="123" spans="1:9" x14ac:dyDescent="0.25">
      <c r="A123" t="s">
        <v>105</v>
      </c>
      <c r="B123">
        <v>8000</v>
      </c>
    </row>
    <row r="124" spans="1:9" x14ac:dyDescent="0.25">
      <c r="A124" t="s">
        <v>106</v>
      </c>
      <c r="B124">
        <f>B122*B123</f>
        <v>16000</v>
      </c>
    </row>
    <row r="125" spans="1:9" x14ac:dyDescent="0.25">
      <c r="A125" t="s">
        <v>107</v>
      </c>
      <c r="B125">
        <f>B124*$H$3</f>
        <v>3520</v>
      </c>
    </row>
    <row r="127" spans="1:9" x14ac:dyDescent="0.25">
      <c r="A127" s="4" t="s">
        <v>108</v>
      </c>
    </row>
    <row r="128" spans="1:9" x14ac:dyDescent="0.25">
      <c r="A128" t="s">
        <v>52</v>
      </c>
      <c r="B128">
        <f>B43</f>
        <v>82</v>
      </c>
    </row>
    <row r="129" spans="1:8" x14ac:dyDescent="0.25">
      <c r="A129" t="s">
        <v>109</v>
      </c>
      <c r="B129">
        <f>B44</f>
        <v>10</v>
      </c>
    </row>
    <row r="130" spans="1:8" x14ac:dyDescent="0.25">
      <c r="A130" t="s">
        <v>54</v>
      </c>
      <c r="B130">
        <v>1</v>
      </c>
    </row>
    <row r="131" spans="1:8" x14ac:dyDescent="0.25">
      <c r="A131" t="s">
        <v>110</v>
      </c>
      <c r="B131">
        <f>IF(B130&gt;0,B130,ROUND(B128*B129,0))</f>
        <v>1</v>
      </c>
    </row>
    <row r="132" spans="1:8" x14ac:dyDescent="0.25">
      <c r="A132" t="s">
        <v>111</v>
      </c>
      <c r="B132">
        <f>B46</f>
        <v>7.2</v>
      </c>
    </row>
    <row r="133" spans="1:8" x14ac:dyDescent="0.25">
      <c r="A133" t="s">
        <v>112</v>
      </c>
      <c r="B133">
        <v>6</v>
      </c>
    </row>
    <row r="134" spans="1:8" x14ac:dyDescent="0.25">
      <c r="A134" t="s">
        <v>113</v>
      </c>
      <c r="B134">
        <f>B132*B133*365</f>
        <v>15768.000000000002</v>
      </c>
    </row>
    <row r="135" spans="1:8" x14ac:dyDescent="0.25">
      <c r="A135" t="s">
        <v>114</v>
      </c>
      <c r="B135">
        <f>B131*B134</f>
        <v>15768.000000000002</v>
      </c>
    </row>
    <row r="136" spans="1:8" x14ac:dyDescent="0.25">
      <c r="A136" t="s">
        <v>115</v>
      </c>
      <c r="B136">
        <f>B135*$H$3</f>
        <v>3468.9600000000005</v>
      </c>
    </row>
    <row r="138" spans="1:8" x14ac:dyDescent="0.25">
      <c r="A138" s="4" t="s">
        <v>116</v>
      </c>
    </row>
    <row r="139" spans="1:8" x14ac:dyDescent="0.25">
      <c r="A139" s="6" t="s">
        <v>59</v>
      </c>
      <c r="B139" s="6" t="s">
        <v>60</v>
      </c>
      <c r="C139" s="6" t="s">
        <v>61</v>
      </c>
      <c r="D139" s="6" t="s">
        <v>62</v>
      </c>
      <c r="E139" s="6" t="s">
        <v>63</v>
      </c>
      <c r="F139" s="6" t="s">
        <v>117</v>
      </c>
      <c r="G139" s="6" t="s">
        <v>100</v>
      </c>
      <c r="H139" s="6" t="s">
        <v>101</v>
      </c>
    </row>
    <row r="140" spans="1:8" x14ac:dyDescent="0.25">
      <c r="A140" t="s">
        <v>64</v>
      </c>
      <c r="B140">
        <f t="shared" ref="B140:B146" si="5">IFERROR(VLOOKUP(A140,$A$52:$B$58,2,FALSE),0)</f>
        <v>400</v>
      </c>
      <c r="C140">
        <f t="shared" ref="C140:C146" si="6">IFERROR(VLOOKUP(A140,$A$52:$C$58,3,FALSE),0)</f>
        <v>13</v>
      </c>
      <c r="D140">
        <f t="shared" ref="D140:D146" si="7">IFERROR(VLOOKUP(A140,$A$52:$D$58,4,FALSE),0)</f>
        <v>365</v>
      </c>
      <c r="E140">
        <f t="shared" ref="E140:E146" si="8">IFERROR(VLOOKUP(A140,$A$52:$E$58,5,FALSE),0)</f>
        <v>0.6</v>
      </c>
      <c r="F140">
        <f t="shared" ref="F140:F146" si="9">B140/1000</f>
        <v>0.4</v>
      </c>
      <c r="G140">
        <f t="shared" ref="G140:G146" si="10">F140*C140*D140*E140</f>
        <v>1138.8</v>
      </c>
      <c r="H140">
        <f t="shared" ref="H140:H146" si="11">G140*$H$3</f>
        <v>250.536</v>
      </c>
    </row>
    <row r="141" spans="1:8" x14ac:dyDescent="0.25">
      <c r="A141" t="s">
        <v>65</v>
      </c>
      <c r="B141">
        <f t="shared" si="5"/>
        <v>0</v>
      </c>
      <c r="C141">
        <f t="shared" si="6"/>
        <v>11</v>
      </c>
      <c r="D141">
        <f t="shared" si="7"/>
        <v>365</v>
      </c>
      <c r="E141">
        <f t="shared" si="8"/>
        <v>0.6</v>
      </c>
      <c r="F141">
        <f t="shared" si="9"/>
        <v>0</v>
      </c>
      <c r="G141">
        <f t="shared" si="10"/>
        <v>0</v>
      </c>
      <c r="H141">
        <f t="shared" si="11"/>
        <v>0</v>
      </c>
    </row>
    <row r="142" spans="1:8" x14ac:dyDescent="0.25">
      <c r="A142" t="s">
        <v>66</v>
      </c>
      <c r="B142">
        <f t="shared" si="5"/>
        <v>0</v>
      </c>
      <c r="C142">
        <f t="shared" si="6"/>
        <v>11</v>
      </c>
      <c r="D142">
        <f t="shared" si="7"/>
        <v>365</v>
      </c>
      <c r="E142">
        <f t="shared" si="8"/>
        <v>0.6</v>
      </c>
      <c r="F142">
        <f t="shared" si="9"/>
        <v>0</v>
      </c>
      <c r="G142">
        <f t="shared" si="10"/>
        <v>0</v>
      </c>
      <c r="H142">
        <f t="shared" si="11"/>
        <v>0</v>
      </c>
    </row>
    <row r="143" spans="1:8" x14ac:dyDescent="0.25">
      <c r="A143" t="s">
        <v>67</v>
      </c>
      <c r="B143">
        <f t="shared" si="5"/>
        <v>800</v>
      </c>
      <c r="C143">
        <f t="shared" si="6"/>
        <v>6</v>
      </c>
      <c r="D143">
        <f t="shared" si="7"/>
        <v>365</v>
      </c>
      <c r="E143">
        <f t="shared" si="8"/>
        <v>1</v>
      </c>
      <c r="F143">
        <f t="shared" si="9"/>
        <v>0.8</v>
      </c>
      <c r="G143">
        <f t="shared" si="10"/>
        <v>1752.0000000000002</v>
      </c>
      <c r="H143">
        <f t="shared" si="11"/>
        <v>385.44000000000005</v>
      </c>
    </row>
    <row r="144" spans="1:8" x14ac:dyDescent="0.25">
      <c r="A144" t="s">
        <v>68</v>
      </c>
      <c r="B144">
        <f t="shared" si="5"/>
        <v>0</v>
      </c>
      <c r="C144">
        <f t="shared" si="6"/>
        <v>11</v>
      </c>
      <c r="D144">
        <f t="shared" si="7"/>
        <v>365</v>
      </c>
      <c r="E144">
        <f t="shared" si="8"/>
        <v>1</v>
      </c>
      <c r="F144">
        <f t="shared" si="9"/>
        <v>0</v>
      </c>
      <c r="G144">
        <f t="shared" si="10"/>
        <v>0</v>
      </c>
      <c r="H144">
        <f t="shared" si="11"/>
        <v>0</v>
      </c>
    </row>
    <row r="145" spans="1:8" x14ac:dyDescent="0.25">
      <c r="A145" t="s">
        <v>69</v>
      </c>
      <c r="B145">
        <f t="shared" si="5"/>
        <v>50</v>
      </c>
      <c r="C145">
        <f t="shared" si="6"/>
        <v>6</v>
      </c>
      <c r="D145">
        <f t="shared" si="7"/>
        <v>365</v>
      </c>
      <c r="E145">
        <f t="shared" si="8"/>
        <v>1</v>
      </c>
      <c r="F145">
        <f t="shared" si="9"/>
        <v>0.05</v>
      </c>
      <c r="G145">
        <f t="shared" si="10"/>
        <v>109.50000000000001</v>
      </c>
      <c r="H145">
        <f t="shared" si="11"/>
        <v>24.090000000000003</v>
      </c>
    </row>
    <row r="146" spans="1:8" x14ac:dyDescent="0.25">
      <c r="A146" t="s">
        <v>70</v>
      </c>
      <c r="B146">
        <f t="shared" si="5"/>
        <v>0</v>
      </c>
      <c r="C146">
        <f t="shared" si="6"/>
        <v>6</v>
      </c>
      <c r="D146">
        <f t="shared" si="7"/>
        <v>365</v>
      </c>
      <c r="E146">
        <f t="shared" si="8"/>
        <v>1</v>
      </c>
      <c r="F146">
        <f t="shared" si="9"/>
        <v>0</v>
      </c>
      <c r="G146">
        <f t="shared" si="10"/>
        <v>0</v>
      </c>
      <c r="H146">
        <f t="shared" si="11"/>
        <v>0</v>
      </c>
    </row>
    <row r="147" spans="1:8" x14ac:dyDescent="0.25">
      <c r="G147" s="4" t="s">
        <v>118</v>
      </c>
      <c r="H147" s="4" t="s">
        <v>119</v>
      </c>
    </row>
    <row r="148" spans="1:8" x14ac:dyDescent="0.25">
      <c r="G148">
        <f>SUM(G140:G146)</f>
        <v>3000.3</v>
      </c>
      <c r="H148">
        <f>SUM(H140:H146)</f>
        <v>660.06600000000014</v>
      </c>
    </row>
    <row r="150" spans="1:8" x14ac:dyDescent="0.25">
      <c r="A150" s="4" t="s">
        <v>42</v>
      </c>
    </row>
    <row r="151" spans="1:8" x14ac:dyDescent="0.25">
      <c r="A151" t="s">
        <v>72</v>
      </c>
      <c r="B151">
        <f>B61</f>
        <v>0</v>
      </c>
    </row>
    <row r="152" spans="1:8" x14ac:dyDescent="0.25">
      <c r="A152" t="s">
        <v>120</v>
      </c>
      <c r="B152">
        <f>IFERROR(VLOOKUP("Parking Garage",Lookups_References!$A$3:$B$200,2,FALSE),0.3)</f>
        <v>0.3</v>
      </c>
    </row>
    <row r="153" spans="1:8" x14ac:dyDescent="0.25">
      <c r="A153" t="s">
        <v>61</v>
      </c>
      <c r="B153">
        <f>B64</f>
        <v>12</v>
      </c>
    </row>
    <row r="154" spans="1:8" x14ac:dyDescent="0.25">
      <c r="A154" t="s">
        <v>62</v>
      </c>
      <c r="B154">
        <f>B65</f>
        <v>365</v>
      </c>
    </row>
    <row r="155" spans="1:8" x14ac:dyDescent="0.25">
      <c r="A155" t="s">
        <v>63</v>
      </c>
      <c r="B155">
        <f>IF(B62="Yes",0.6,0.3)</f>
        <v>0.3</v>
      </c>
    </row>
    <row r="156" spans="1:8" x14ac:dyDescent="0.25">
      <c r="A156" t="s">
        <v>121</v>
      </c>
      <c r="B156">
        <f>B151*B152/1000</f>
        <v>0</v>
      </c>
    </row>
    <row r="157" spans="1:8" x14ac:dyDescent="0.25">
      <c r="A157" t="s">
        <v>122</v>
      </c>
      <c r="B157">
        <f>B156*B153*B154*B155</f>
        <v>0</v>
      </c>
    </row>
    <row r="158" spans="1:8" x14ac:dyDescent="0.25">
      <c r="A158" t="s">
        <v>123</v>
      </c>
      <c r="B158">
        <f>B157*$H$3</f>
        <v>0</v>
      </c>
    </row>
    <row r="159" spans="1:8" x14ac:dyDescent="0.25">
      <c r="A159" t="s">
        <v>73</v>
      </c>
      <c r="B159" t="str">
        <f>B62</f>
        <v>No</v>
      </c>
    </row>
    <row r="160" spans="1:8" x14ac:dyDescent="0.25">
      <c r="A160" t="s">
        <v>74</v>
      </c>
      <c r="B160">
        <f>B63</f>
        <v>0.1</v>
      </c>
    </row>
    <row r="161" spans="1:2" x14ac:dyDescent="0.25">
      <c r="A161" t="s">
        <v>75</v>
      </c>
      <c r="B161">
        <f>B64</f>
        <v>12</v>
      </c>
    </row>
    <row r="162" spans="1:2" x14ac:dyDescent="0.25">
      <c r="A162" t="s">
        <v>76</v>
      </c>
      <c r="B162">
        <f>B65</f>
        <v>365</v>
      </c>
    </row>
    <row r="163" spans="1:2" x14ac:dyDescent="0.25">
      <c r="A163" t="s">
        <v>124</v>
      </c>
      <c r="B163">
        <f>IF(B159="Yes", B151*B160/1000, 0)</f>
        <v>0</v>
      </c>
    </row>
    <row r="164" spans="1:2" x14ac:dyDescent="0.25">
      <c r="A164" t="s">
        <v>125</v>
      </c>
      <c r="B164">
        <f>B163*B161*B162</f>
        <v>0</v>
      </c>
    </row>
    <row r="165" spans="1:2" x14ac:dyDescent="0.25">
      <c r="A165" t="s">
        <v>126</v>
      </c>
      <c r="B165">
        <f>B164*$H$3</f>
        <v>0</v>
      </c>
    </row>
    <row r="168" spans="1:2" x14ac:dyDescent="0.25">
      <c r="A168" s="4" t="s">
        <v>127</v>
      </c>
    </row>
    <row r="169" spans="1:2" x14ac:dyDescent="0.25">
      <c r="A169" t="s">
        <v>57</v>
      </c>
      <c r="B169">
        <f>B48</f>
        <v>0</v>
      </c>
    </row>
    <row r="170" spans="1:2" x14ac:dyDescent="0.25">
      <c r="A170" t="s">
        <v>80</v>
      </c>
      <c r="B170">
        <f>B70</f>
        <v>1</v>
      </c>
    </row>
    <row r="171" spans="1:2" x14ac:dyDescent="0.25">
      <c r="A171" t="s">
        <v>86</v>
      </c>
      <c r="B171">
        <f>INDEX(Lookups_References!$B$40:$B$47, MATCH("Pump Efficiency (0–1)", Lookups_References!$A$40:$A$47, 0))</f>
        <v>0.7</v>
      </c>
    </row>
    <row r="172" spans="1:2" x14ac:dyDescent="0.25">
      <c r="A172" t="s">
        <v>87</v>
      </c>
      <c r="B172">
        <f>INDEX(Lookups_References!$B$40:$B$47, MATCH("Pump Hours/Day", Lookups_References!$A$40:$A$47, 0))</f>
        <v>12</v>
      </c>
    </row>
    <row r="173" spans="1:2" x14ac:dyDescent="0.25">
      <c r="A173" t="s">
        <v>88</v>
      </c>
      <c r="B173">
        <f>INDEX(Lookups_References!$B$40:$B$47, MATCH("Pump Days/Year", Lookups_References!$A$40:$A$47, 0))</f>
        <v>365</v>
      </c>
    </row>
    <row r="174" spans="1:2" x14ac:dyDescent="0.25">
      <c r="A174" t="s">
        <v>128</v>
      </c>
      <c r="B174">
        <f>B170*0.746/IF(B171=0,0.0001,B171)</f>
        <v>1.0657142857142858</v>
      </c>
    </row>
    <row r="175" spans="1:2" x14ac:dyDescent="0.25">
      <c r="A175" t="s">
        <v>129</v>
      </c>
      <c r="B175">
        <f>B174*B172*B173</f>
        <v>4667.8285714285721</v>
      </c>
    </row>
    <row r="176" spans="1:2" x14ac:dyDescent="0.25">
      <c r="A176" t="s">
        <v>130</v>
      </c>
      <c r="B176">
        <f>B169*B175</f>
        <v>0</v>
      </c>
    </row>
    <row r="177" spans="1:2" x14ac:dyDescent="0.25">
      <c r="A177" t="s">
        <v>131</v>
      </c>
      <c r="B177">
        <f>B176*$H$3</f>
        <v>0</v>
      </c>
    </row>
    <row r="179" spans="1:2" x14ac:dyDescent="0.25">
      <c r="A179" t="s">
        <v>78</v>
      </c>
      <c r="B179" t="str">
        <f>B68</f>
        <v>None</v>
      </c>
    </row>
    <row r="180" spans="1:2" x14ac:dyDescent="0.25">
      <c r="A180" t="s">
        <v>79</v>
      </c>
      <c r="B180">
        <f>B69</f>
        <v>0</v>
      </c>
    </row>
    <row r="181" spans="1:2" x14ac:dyDescent="0.25">
      <c r="A181" t="s">
        <v>132</v>
      </c>
      <c r="B181">
        <f>INDEX(Lookups_References!$B$40:$B$47, MATCH("Heater Load Factor (W/ft²)", Lookups_References!$A$40:$A$47, 0))</f>
        <v>10</v>
      </c>
    </row>
    <row r="182" spans="1:2" x14ac:dyDescent="0.25">
      <c r="A182" t="s">
        <v>133</v>
      </c>
      <c r="B182">
        <f>INDEX(Lookups_References!$B$40:$B$47, MATCH("Heater Hours/Day", Lookups_References!$A$40:$A$47, 0))</f>
        <v>8</v>
      </c>
    </row>
    <row r="183" spans="1:2" x14ac:dyDescent="0.25">
      <c r="A183" t="s">
        <v>134</v>
      </c>
      <c r="B183">
        <f>INDEX(Lookups_References!$B$40:$B$47, MATCH("Heater Days/Year", Lookups_References!$A$40:$A$47, 0))</f>
        <v>180</v>
      </c>
    </row>
    <row r="184" spans="1:2" x14ac:dyDescent="0.25">
      <c r="A184" t="s">
        <v>135</v>
      </c>
      <c r="B184">
        <f>INDEX(Lookups_References!$B$40:$B$47, MATCH("Boiler Efficiency (0–1)", Lookups_References!$A$40:$A$47, 0))</f>
        <v>0.85</v>
      </c>
    </row>
    <row r="185" spans="1:2" x14ac:dyDescent="0.25">
      <c r="A185" t="s">
        <v>136</v>
      </c>
      <c r="B185">
        <f>INDEX(Lookups_References!$B$40:$B$47, MATCH("Heat Pump COP", Lookups_References!$A$40:$A$47, 0))</f>
        <v>4</v>
      </c>
    </row>
    <row r="186" spans="1:2" x14ac:dyDescent="0.25">
      <c r="A186" t="s">
        <v>85</v>
      </c>
      <c r="B186">
        <f>B75</f>
        <v>4</v>
      </c>
    </row>
    <row r="187" spans="1:2" x14ac:dyDescent="0.25">
      <c r="A187" t="s">
        <v>137</v>
      </c>
      <c r="B187">
        <f>B180*B181/1000</f>
        <v>0</v>
      </c>
    </row>
    <row r="188" spans="1:2" x14ac:dyDescent="0.25">
      <c r="A188" t="s">
        <v>138</v>
      </c>
      <c r="B188">
        <f>B187*3.412</f>
        <v>0</v>
      </c>
    </row>
    <row r="189" spans="1:2" x14ac:dyDescent="0.25">
      <c r="A189" t="s">
        <v>138</v>
      </c>
      <c r="B189">
        <f>IF(B179="Gas boiler", B180, IF(B181="kW", B180*3.412, 0))</f>
        <v>0</v>
      </c>
    </row>
    <row r="190" spans="1:2" x14ac:dyDescent="0.25">
      <c r="A190" t="s">
        <v>139</v>
      </c>
      <c r="B190">
        <f>IF(B179="Electric", B187/IF(B184=0,0.0001,B184)*B182*B183, IF(B179="Heat Pump", B187/IF(B185=0,0.0001,B185)*B182*B183, 0))</f>
        <v>0</v>
      </c>
    </row>
    <row r="191" spans="1:2" x14ac:dyDescent="0.25">
      <c r="A191" t="s">
        <v>140</v>
      </c>
      <c r="B191">
        <f>IF(B179="Gas boiler", B188/IF(B184=0,0.0001,B184)*B182*B183/100, 0)</f>
        <v>0</v>
      </c>
    </row>
    <row r="192" spans="1:2" x14ac:dyDescent="0.25">
      <c r="A192" t="s">
        <v>140</v>
      </c>
      <c r="B192">
        <f>IF(B179="Gas boiler", B189/IF(B185=0,0.0001,B185)*B183*B184*B182/100, 0)</f>
        <v>0</v>
      </c>
    </row>
    <row r="194" spans="1:2" x14ac:dyDescent="0.25">
      <c r="A194" t="s">
        <v>141</v>
      </c>
      <c r="B194">
        <f>B169*B190</f>
        <v>0</v>
      </c>
    </row>
    <row r="195" spans="1:2" x14ac:dyDescent="0.25">
      <c r="A195" t="s">
        <v>142</v>
      </c>
      <c r="B195">
        <f>B169*B191</f>
        <v>0</v>
      </c>
    </row>
    <row r="196" spans="1:2" x14ac:dyDescent="0.25">
      <c r="A196" t="s">
        <v>143</v>
      </c>
      <c r="B196">
        <f>B194*$H$3</f>
        <v>0</v>
      </c>
    </row>
    <row r="197" spans="1:2" x14ac:dyDescent="0.25">
      <c r="A197" t="s">
        <v>144</v>
      </c>
      <c r="B197">
        <f>B195*$K$3</f>
        <v>0</v>
      </c>
    </row>
    <row r="199" spans="1:2" x14ac:dyDescent="0.25">
      <c r="A199" s="38" t="s">
        <v>303</v>
      </c>
    </row>
    <row r="200" spans="1:2" x14ac:dyDescent="0.25">
      <c r="A200" t="s">
        <v>305</v>
      </c>
      <c r="B200">
        <v>55</v>
      </c>
    </row>
    <row r="201" spans="1:2" x14ac:dyDescent="0.25">
      <c r="A201" t="s">
        <v>86</v>
      </c>
      <c r="B201">
        <f>INDEX(Lookups_References!$B$40:$B$47, MATCH("Pump Efficiency (0–1)", Lookups_References!$A$40:$A$47, 0))</f>
        <v>0.7</v>
      </c>
    </row>
    <row r="202" spans="1:2" x14ac:dyDescent="0.25">
      <c r="A202" t="s">
        <v>87</v>
      </c>
      <c r="B202">
        <v>1</v>
      </c>
    </row>
    <row r="203" spans="1:2" x14ac:dyDescent="0.25">
      <c r="A203" t="s">
        <v>88</v>
      </c>
      <c r="B203">
        <v>1</v>
      </c>
    </row>
    <row r="204" spans="1:2" x14ac:dyDescent="0.25">
      <c r="A204" t="s">
        <v>128</v>
      </c>
      <c r="B204" s="39">
        <f>B200*0.746/IF(B201=0,0.0001,B201)</f>
        <v>58.614285714285721</v>
      </c>
    </row>
    <row r="205" spans="1:2" x14ac:dyDescent="0.25">
      <c r="A205" t="s">
        <v>309</v>
      </c>
      <c r="B205" s="39">
        <f>B204*B202*B203</f>
        <v>58.614285714285721</v>
      </c>
    </row>
    <row r="207" spans="1:2" x14ac:dyDescent="0.25">
      <c r="A207" s="38" t="s">
        <v>304</v>
      </c>
    </row>
    <row r="208" spans="1:2" x14ac:dyDescent="0.25">
      <c r="A208" t="s">
        <v>306</v>
      </c>
      <c r="B208">
        <v>3</v>
      </c>
    </row>
    <row r="209" spans="1:2" x14ac:dyDescent="0.25">
      <c r="A209" t="s">
        <v>86</v>
      </c>
      <c r="B209">
        <f>INDEX(Lookups_References!$B$40:$B$47, MATCH("Pump Efficiency (0–1)", Lookups_References!$A$40:$A$47, 0))</f>
        <v>0.7</v>
      </c>
    </row>
    <row r="210" spans="1:2" x14ac:dyDescent="0.25">
      <c r="A210" t="s">
        <v>87</v>
      </c>
      <c r="B210">
        <v>24</v>
      </c>
    </row>
    <row r="211" spans="1:2" x14ac:dyDescent="0.25">
      <c r="A211" t="s">
        <v>88</v>
      </c>
      <c r="B211">
        <f>INDEX(Lookups_References!$B$40:$B$47, MATCH("Pump Days/Year", Lookups_References!$A$40:$A$47, 0))</f>
        <v>365</v>
      </c>
    </row>
    <row r="212" spans="1:2" x14ac:dyDescent="0.25">
      <c r="A212" t="s">
        <v>128</v>
      </c>
      <c r="B212" s="39">
        <v>1</v>
      </c>
    </row>
    <row r="213" spans="1:2" x14ac:dyDescent="0.25">
      <c r="A213" t="s">
        <v>309</v>
      </c>
      <c r="B213" s="39">
        <f>B212*B210*B211</f>
        <v>8760</v>
      </c>
    </row>
    <row r="215" spans="1:2" x14ac:dyDescent="0.25">
      <c r="A215" s="38" t="s">
        <v>308</v>
      </c>
    </row>
    <row r="216" spans="1:2" x14ac:dyDescent="0.25">
      <c r="A216" t="s">
        <v>305</v>
      </c>
      <c r="B216">
        <v>0.5</v>
      </c>
    </row>
    <row r="217" spans="1:2" x14ac:dyDescent="0.25">
      <c r="A217" t="s">
        <v>86</v>
      </c>
      <c r="B217">
        <f>INDEX(Lookups_References!$B$40:$B$47, MATCH("Pump Efficiency (0–1)", Lookups_References!$A$40:$A$47, 0))</f>
        <v>0.7</v>
      </c>
    </row>
    <row r="218" spans="1:2" x14ac:dyDescent="0.25">
      <c r="A218" t="s">
        <v>87</v>
      </c>
      <c r="B218">
        <v>24</v>
      </c>
    </row>
    <row r="219" spans="1:2" x14ac:dyDescent="0.25">
      <c r="A219" t="s">
        <v>88</v>
      </c>
      <c r="B219">
        <v>365</v>
      </c>
    </row>
    <row r="220" spans="1:2" x14ac:dyDescent="0.25">
      <c r="A220" t="s">
        <v>307</v>
      </c>
      <c r="B220" s="39">
        <f>B216*0.746/IF(B217=0,0.0001,B217)</f>
        <v>0.53285714285714292</v>
      </c>
    </row>
    <row r="221" spans="1:2" x14ac:dyDescent="0.25">
      <c r="A221" t="s">
        <v>309</v>
      </c>
      <c r="B221" s="39">
        <f>B220*B218*B219</f>
        <v>4667.8285714285721</v>
      </c>
    </row>
    <row r="223" spans="1:2" x14ac:dyDescent="0.25">
      <c r="A223" s="38" t="s">
        <v>310</v>
      </c>
    </row>
    <row r="224" spans="1:2" x14ac:dyDescent="0.25">
      <c r="A224" t="s">
        <v>305</v>
      </c>
      <c r="B224">
        <v>1.5</v>
      </c>
    </row>
    <row r="225" spans="1:2" x14ac:dyDescent="0.25">
      <c r="A225" t="s">
        <v>86</v>
      </c>
      <c r="B225">
        <f>INDEX(Lookups_References!$B$40:$B$47, MATCH("Pump Efficiency (0–1)", Lookups_References!$A$40:$A$47, 0))</f>
        <v>0.7</v>
      </c>
    </row>
    <row r="226" spans="1:2" x14ac:dyDescent="0.25">
      <c r="A226" t="s">
        <v>87</v>
      </c>
    </row>
    <row r="227" spans="1:2" x14ac:dyDescent="0.25">
      <c r="A227" t="s">
        <v>88</v>
      </c>
    </row>
    <row r="228" spans="1:2" x14ac:dyDescent="0.25">
      <c r="A228" t="s">
        <v>307</v>
      </c>
      <c r="B228" s="39"/>
    </row>
    <row r="229" spans="1:2" x14ac:dyDescent="0.25">
      <c r="A229" t="s">
        <v>309</v>
      </c>
      <c r="B229" s="39">
        <f>B228*B226*B227</f>
        <v>0</v>
      </c>
    </row>
    <row r="232" spans="1:2" ht="18.95" customHeight="1" x14ac:dyDescent="0.3">
      <c r="A232" s="1" t="s">
        <v>145</v>
      </c>
    </row>
    <row r="233" spans="1:2" x14ac:dyDescent="0.25">
      <c r="A233" t="s">
        <v>146</v>
      </c>
      <c r="B233">
        <f>SUMIF($C$12:$C$39,"Yes",$B$12:$B$39)</f>
        <v>4278.1000000000004</v>
      </c>
    </row>
    <row r="234" spans="1:2" x14ac:dyDescent="0.25">
      <c r="A234" t="s">
        <v>147</v>
      </c>
      <c r="B234">
        <f>SUMIF($D$12:$D$39,"Yes",$B$12:$B$39)</f>
        <v>18226.64</v>
      </c>
    </row>
    <row r="236" spans="1:2" x14ac:dyDescent="0.25">
      <c r="A236" t="s">
        <v>148</v>
      </c>
      <c r="B236">
        <f>B233*B82</f>
        <v>8556.2000000000007</v>
      </c>
    </row>
    <row r="237" spans="1:2" x14ac:dyDescent="0.25">
      <c r="A237" t="s">
        <v>149</v>
      </c>
      <c r="B237">
        <v>0</v>
      </c>
    </row>
    <row r="238" spans="1:2" x14ac:dyDescent="0.25">
      <c r="A238" t="s">
        <v>150</v>
      </c>
      <c r="B238">
        <f>B236*$H$3</f>
        <v>1882.3640000000003</v>
      </c>
    </row>
    <row r="239" spans="1:2" x14ac:dyDescent="0.25">
      <c r="A239" t="s">
        <v>151</v>
      </c>
      <c r="B239">
        <v>0</v>
      </c>
    </row>
    <row r="241" spans="1:2" x14ac:dyDescent="0.25">
      <c r="A241" t="s">
        <v>152</v>
      </c>
      <c r="B241">
        <f>B233*B83</f>
        <v>6417.1500000000005</v>
      </c>
    </row>
    <row r="242" spans="1:2" x14ac:dyDescent="0.25">
      <c r="A242" t="s">
        <v>153</v>
      </c>
      <c r="B242">
        <f>B241*$H$3</f>
        <v>1411.7730000000001</v>
      </c>
    </row>
    <row r="244" spans="1:2" x14ac:dyDescent="0.25">
      <c r="A244" t="s">
        <v>154</v>
      </c>
      <c r="B244">
        <f>(B234-B151)*B84*(B85*B86)/1000</f>
        <v>47899.609919999995</v>
      </c>
    </row>
    <row r="245" spans="1:2" x14ac:dyDescent="0.25">
      <c r="A245" t="s">
        <v>126</v>
      </c>
      <c r="B245">
        <f>B244*$H$3</f>
        <v>10537.9141824</v>
      </c>
    </row>
    <row r="248" spans="1:2" ht="18.95" customHeight="1" x14ac:dyDescent="0.3">
      <c r="A248" s="1" t="s">
        <v>155</v>
      </c>
    </row>
    <row r="249" spans="1:2" x14ac:dyDescent="0.25">
      <c r="A249" t="s">
        <v>156</v>
      </c>
      <c r="B249">
        <f>H119</f>
        <v>29449.171347200005</v>
      </c>
    </row>
    <row r="250" spans="1:2" x14ac:dyDescent="0.25">
      <c r="A250" t="s">
        <v>157</v>
      </c>
      <c r="B250">
        <f>I119</f>
        <v>6478.8176963840015</v>
      </c>
    </row>
    <row r="251" spans="1:2" x14ac:dyDescent="0.25">
      <c r="A251" t="s">
        <v>106</v>
      </c>
      <c r="B251">
        <f>B124</f>
        <v>16000</v>
      </c>
    </row>
    <row r="252" spans="1:2" x14ac:dyDescent="0.25">
      <c r="A252" t="s">
        <v>107</v>
      </c>
      <c r="B252">
        <f>B125</f>
        <v>3520</v>
      </c>
    </row>
    <row r="253" spans="1:2" x14ac:dyDescent="0.25">
      <c r="A253" t="s">
        <v>158</v>
      </c>
      <c r="B253">
        <f>B135</f>
        <v>15768.000000000002</v>
      </c>
    </row>
    <row r="254" spans="1:2" x14ac:dyDescent="0.25">
      <c r="A254" t="s">
        <v>159</v>
      </c>
      <c r="B254">
        <f>B136</f>
        <v>3468.9600000000005</v>
      </c>
    </row>
    <row r="255" spans="1:2" x14ac:dyDescent="0.25">
      <c r="A255" t="s">
        <v>160</v>
      </c>
      <c r="B255">
        <f>G148</f>
        <v>3000.3</v>
      </c>
    </row>
    <row r="256" spans="1:2" x14ac:dyDescent="0.25">
      <c r="A256" t="s">
        <v>161</v>
      </c>
      <c r="B256">
        <f>H148</f>
        <v>660.06600000000014</v>
      </c>
    </row>
    <row r="257" spans="1:2" x14ac:dyDescent="0.25">
      <c r="A257" t="s">
        <v>162</v>
      </c>
      <c r="B257">
        <f>B158</f>
        <v>0</v>
      </c>
    </row>
    <row r="258" spans="1:2" x14ac:dyDescent="0.25">
      <c r="A258" t="s">
        <v>163</v>
      </c>
      <c r="B258">
        <f>B165</f>
        <v>0</v>
      </c>
    </row>
    <row r="259" spans="1:2" x14ac:dyDescent="0.25">
      <c r="A259" t="s">
        <v>164</v>
      </c>
      <c r="B259">
        <f>B176</f>
        <v>0</v>
      </c>
    </row>
    <row r="260" spans="1:2" x14ac:dyDescent="0.25">
      <c r="A260" t="s">
        <v>165</v>
      </c>
      <c r="B260">
        <f>B177</f>
        <v>0</v>
      </c>
    </row>
    <row r="261" spans="1:2" x14ac:dyDescent="0.25">
      <c r="A261" t="s">
        <v>166</v>
      </c>
      <c r="B261">
        <f>B194</f>
        <v>0</v>
      </c>
    </row>
    <row r="262" spans="1:2" x14ac:dyDescent="0.25">
      <c r="A262" t="s">
        <v>167</v>
      </c>
      <c r="B262">
        <f>B195</f>
        <v>0</v>
      </c>
    </row>
    <row r="263" spans="1:2" x14ac:dyDescent="0.25">
      <c r="A263" t="s">
        <v>168</v>
      </c>
      <c r="B263">
        <f>B196</f>
        <v>0</v>
      </c>
    </row>
    <row r="264" spans="1:2" x14ac:dyDescent="0.25">
      <c r="A264" t="s">
        <v>169</v>
      </c>
      <c r="B264">
        <f>B197</f>
        <v>0</v>
      </c>
    </row>
    <row r="265" spans="1:2" x14ac:dyDescent="0.25">
      <c r="A265" t="s">
        <v>170</v>
      </c>
      <c r="B265">
        <f>B238</f>
        <v>1882.3640000000003</v>
      </c>
    </row>
    <row r="266" spans="1:2" x14ac:dyDescent="0.25">
      <c r="A266" t="s">
        <v>171</v>
      </c>
      <c r="B266">
        <v>0</v>
      </c>
    </row>
    <row r="267" spans="1:2" x14ac:dyDescent="0.25">
      <c r="A267" t="s">
        <v>172</v>
      </c>
      <c r="B267">
        <f>B242</f>
        <v>1411.7730000000001</v>
      </c>
    </row>
    <row r="268" spans="1:2" x14ac:dyDescent="0.25">
      <c r="A268" t="s">
        <v>173</v>
      </c>
      <c r="B268">
        <f>B245</f>
        <v>10537.9141824</v>
      </c>
    </row>
    <row r="270" spans="1:2" x14ac:dyDescent="0.25">
      <c r="A270" s="4" t="s">
        <v>174</v>
      </c>
      <c r="B270">
        <f>(I119+B125+B136+H148+B177+B196+B158+B165+B238+B242+B245)+N5+N6</f>
        <v>27959.894878784002</v>
      </c>
    </row>
    <row r="271" spans="1:2" x14ac:dyDescent="0.25">
      <c r="A271" s="4" t="s">
        <v>175</v>
      </c>
      <c r="B271">
        <f>B197+B239</f>
        <v>0</v>
      </c>
    </row>
    <row r="272" spans="1:2" x14ac:dyDescent="0.25">
      <c r="A272" s="4" t="s">
        <v>176</v>
      </c>
      <c r="B272">
        <f>B270+B271</f>
        <v>27959.894878784002</v>
      </c>
    </row>
    <row r="273" spans="1:2" x14ac:dyDescent="0.25">
      <c r="A273" s="4" t="s">
        <v>177</v>
      </c>
      <c r="B273">
        <f>IF(E3&gt;0,B272/12/E3,"")</f>
        <v>43.147985924049379</v>
      </c>
    </row>
  </sheetData>
  <mergeCells count="2">
    <mergeCell ref="A1:N1"/>
    <mergeCell ref="A8:N8"/>
  </mergeCells>
  <dataValidations count="5">
    <dataValidation type="list" showInputMessage="1" showErrorMessage="1" sqref="B62 C12:D39" xr:uid="{00000000-0002-0000-0100-000000000000}">
      <formula1>"Yes,No"</formula1>
    </dataValidation>
    <dataValidation type="list" showInputMessage="1" showErrorMessage="1" sqref="B68" xr:uid="{00000000-0002-0000-0100-000001000000}">
      <formula1>"None,Gas boiler,Electric boiler,Heat Pump Pool Heater"</formula1>
    </dataValidation>
    <dataValidation type="list" showInputMessage="1" showErrorMessage="1" sqref="B70" xr:uid="{00000000-0002-0000-0100-000002000000}">
      <formula1>$K$70:$Q$70</formula1>
    </dataValidation>
    <dataValidation type="list" showInputMessage="1" showErrorMessage="1" sqref="B82" xr:uid="{00000000-0002-0000-0100-000003000000}">
      <formula1>"Gas boiler,Electric resistance,Heat pump"</formula1>
    </dataValidation>
    <dataValidation type="list" showInputMessage="1" showErrorMessage="1" sqref="B68" xr:uid="{00000000-0002-0000-0100-000004000000}">
      <formula1>"Gas,Electric,Heat Pump"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ColWidth="8.85546875" defaultRowHeight="15" x14ac:dyDescent="0.25"/>
  <cols>
    <col min="1" max="1" width="36" customWidth="1"/>
    <col min="2" max="2" width="100" customWidth="1"/>
  </cols>
  <sheetData>
    <row r="1" spans="1:2" ht="18.95" customHeight="1" x14ac:dyDescent="0.3">
      <c r="A1" s="1" t="s">
        <v>178</v>
      </c>
    </row>
    <row r="3" spans="1:2" x14ac:dyDescent="0.25">
      <c r="A3" s="2" t="s">
        <v>179</v>
      </c>
      <c r="B3" s="2" t="s">
        <v>180</v>
      </c>
    </row>
    <row r="4" spans="1:2" x14ac:dyDescent="0.25">
      <c r="A4" s="3" t="s">
        <v>181</v>
      </c>
      <c r="B4" s="3" t="s">
        <v>182</v>
      </c>
    </row>
    <row r="5" spans="1:2" x14ac:dyDescent="0.25">
      <c r="A5" s="3" t="s">
        <v>63</v>
      </c>
      <c r="B5" s="3" t="s">
        <v>183</v>
      </c>
    </row>
    <row r="6" spans="1:2" x14ac:dyDescent="0.25">
      <c r="A6" s="3" t="s">
        <v>184</v>
      </c>
      <c r="B6" s="3" t="s">
        <v>185</v>
      </c>
    </row>
    <row r="7" spans="1:2" x14ac:dyDescent="0.25">
      <c r="A7" s="3" t="s">
        <v>186</v>
      </c>
      <c r="B7" s="3" t="s">
        <v>187</v>
      </c>
    </row>
    <row r="8" spans="1:2" x14ac:dyDescent="0.25">
      <c r="A8" s="3" t="s">
        <v>188</v>
      </c>
      <c r="B8" s="3" t="s">
        <v>189</v>
      </c>
    </row>
    <row r="9" spans="1:2" x14ac:dyDescent="0.25">
      <c r="A9" s="3" t="s">
        <v>190</v>
      </c>
      <c r="B9" s="3" t="s">
        <v>191</v>
      </c>
    </row>
    <row r="10" spans="1:2" x14ac:dyDescent="0.25">
      <c r="A10" s="3" t="s">
        <v>192</v>
      </c>
      <c r="B10" s="3" t="s">
        <v>193</v>
      </c>
    </row>
    <row r="11" spans="1:2" x14ac:dyDescent="0.25">
      <c r="A11" s="3" t="s">
        <v>41</v>
      </c>
      <c r="B11" s="3" t="s">
        <v>194</v>
      </c>
    </row>
    <row r="12" spans="1:2" x14ac:dyDescent="0.25">
      <c r="A12" s="3" t="s">
        <v>195</v>
      </c>
      <c r="B12" s="3" t="s">
        <v>196</v>
      </c>
    </row>
    <row r="13" spans="1:2" x14ac:dyDescent="0.25">
      <c r="A13" s="3" t="s">
        <v>197</v>
      </c>
      <c r="B13" s="3" t="s">
        <v>198</v>
      </c>
    </row>
    <row r="14" spans="1:2" x14ac:dyDescent="0.25">
      <c r="A14" s="3" t="s">
        <v>199</v>
      </c>
      <c r="B14" s="3" t="s">
        <v>200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opLeftCell="A6" workbookViewId="0">
      <selection activeCell="B37" sqref="B37"/>
    </sheetView>
  </sheetViews>
  <sheetFormatPr defaultColWidth="8.85546875" defaultRowHeight="15" x14ac:dyDescent="0.25"/>
  <cols>
    <col min="1" max="1" width="28" customWidth="1"/>
    <col min="2" max="2" width="46" customWidth="1"/>
    <col min="3" max="3" width="60" customWidth="1"/>
    <col min="4" max="5" width="14" customWidth="1"/>
    <col min="6" max="6" width="18" customWidth="1"/>
    <col min="7" max="7" width="28.7109375" customWidth="1"/>
    <col min="8" max="8" width="40" customWidth="1"/>
  </cols>
  <sheetData>
    <row r="1" spans="1:3" ht="18.95" customHeight="1" x14ac:dyDescent="0.3">
      <c r="A1" s="1" t="s">
        <v>201</v>
      </c>
    </row>
    <row r="2" spans="1:3" x14ac:dyDescent="0.25">
      <c r="A2" s="2" t="s">
        <v>202</v>
      </c>
      <c r="B2" s="2" t="s">
        <v>96</v>
      </c>
      <c r="C2" s="2" t="s">
        <v>26</v>
      </c>
    </row>
    <row r="3" spans="1:3" x14ac:dyDescent="0.25">
      <c r="A3" s="3" t="s">
        <v>27</v>
      </c>
      <c r="B3" s="3">
        <v>0.4</v>
      </c>
      <c r="C3" s="3" t="s">
        <v>203</v>
      </c>
    </row>
    <row r="4" spans="1:3" x14ac:dyDescent="0.25">
      <c r="A4" s="3" t="s">
        <v>30</v>
      </c>
      <c r="B4" s="3">
        <v>0.6</v>
      </c>
      <c r="C4" s="3" t="s">
        <v>204</v>
      </c>
    </row>
    <row r="5" spans="1:3" x14ac:dyDescent="0.25">
      <c r="A5" s="3" t="s">
        <v>31</v>
      </c>
      <c r="B5" s="3">
        <v>0.7</v>
      </c>
      <c r="C5" s="3" t="s">
        <v>205</v>
      </c>
    </row>
    <row r="6" spans="1:3" x14ac:dyDescent="0.25">
      <c r="A6" s="3" t="s">
        <v>32</v>
      </c>
      <c r="B6" s="3">
        <v>0.55000000000000004</v>
      </c>
      <c r="C6" s="3" t="s">
        <v>206</v>
      </c>
    </row>
    <row r="7" spans="1:3" x14ac:dyDescent="0.25">
      <c r="A7" s="3" t="s">
        <v>33</v>
      </c>
      <c r="B7" s="3">
        <v>0.5</v>
      </c>
      <c r="C7" s="3" t="s">
        <v>207</v>
      </c>
    </row>
    <row r="8" spans="1:3" x14ac:dyDescent="0.25">
      <c r="A8" s="3" t="s">
        <v>34</v>
      </c>
      <c r="B8" s="3">
        <v>0.6</v>
      </c>
      <c r="C8" s="3" t="s">
        <v>208</v>
      </c>
    </row>
    <row r="9" spans="1:3" x14ac:dyDescent="0.25">
      <c r="A9" s="3" t="s">
        <v>35</v>
      </c>
      <c r="B9" s="3">
        <v>0.65</v>
      </c>
      <c r="C9" s="3" t="s">
        <v>209</v>
      </c>
    </row>
    <row r="10" spans="1:3" x14ac:dyDescent="0.25">
      <c r="A10" s="3" t="s">
        <v>36</v>
      </c>
      <c r="B10" s="3">
        <v>0.65</v>
      </c>
      <c r="C10" s="3"/>
    </row>
    <row r="11" spans="1:3" x14ac:dyDescent="0.25">
      <c r="A11" s="3" t="s">
        <v>37</v>
      </c>
      <c r="B11" s="3">
        <v>0.45</v>
      </c>
      <c r="C11" s="3"/>
    </row>
    <row r="12" spans="1:3" x14ac:dyDescent="0.25">
      <c r="A12" s="3" t="s">
        <v>38</v>
      </c>
      <c r="B12" s="3">
        <v>0.4</v>
      </c>
      <c r="C12" s="3"/>
    </row>
    <row r="13" spans="1:3" x14ac:dyDescent="0.25">
      <c r="A13" s="3" t="s">
        <v>39</v>
      </c>
      <c r="B13" s="3">
        <v>0.4</v>
      </c>
      <c r="C13" s="3"/>
    </row>
    <row r="14" spans="1:3" x14ac:dyDescent="0.25">
      <c r="A14" s="3" t="s">
        <v>40</v>
      </c>
      <c r="B14" s="3">
        <v>0.95</v>
      </c>
      <c r="C14" s="3" t="s">
        <v>210</v>
      </c>
    </row>
    <row r="15" spans="1:3" x14ac:dyDescent="0.25">
      <c r="A15" s="3" t="s">
        <v>41</v>
      </c>
      <c r="B15" s="3">
        <v>0.55000000000000004</v>
      </c>
      <c r="C15" s="3" t="s">
        <v>211</v>
      </c>
    </row>
    <row r="16" spans="1:3" x14ac:dyDescent="0.25">
      <c r="A16" s="3" t="s">
        <v>42</v>
      </c>
      <c r="B16" s="3">
        <v>0.3</v>
      </c>
      <c r="C16" s="3" t="s">
        <v>212</v>
      </c>
    </row>
    <row r="17" spans="1:8" ht="18.95" customHeight="1" x14ac:dyDescent="0.3">
      <c r="A17" s="1" t="s">
        <v>43</v>
      </c>
    </row>
    <row r="18" spans="1:8" x14ac:dyDescent="0.25">
      <c r="A18" s="2" t="s">
        <v>44</v>
      </c>
      <c r="B18" s="2" t="s">
        <v>213</v>
      </c>
      <c r="C18" s="2" t="s">
        <v>214</v>
      </c>
      <c r="D18" s="2" t="s">
        <v>15</v>
      </c>
      <c r="E18" s="2" t="s">
        <v>16</v>
      </c>
      <c r="F18" s="2" t="s">
        <v>215</v>
      </c>
      <c r="G18" s="2" t="s">
        <v>216</v>
      </c>
      <c r="H18" s="2" t="s">
        <v>217</v>
      </c>
    </row>
    <row r="19" spans="1:8" x14ac:dyDescent="0.25">
      <c r="A19" s="3" t="s">
        <v>45</v>
      </c>
      <c r="B19" s="3" t="s">
        <v>218</v>
      </c>
      <c r="C19" s="3">
        <v>0.34</v>
      </c>
      <c r="D19" s="3">
        <v>0</v>
      </c>
      <c r="E19" s="3">
        <v>15</v>
      </c>
      <c r="F19" s="3" t="s">
        <v>219</v>
      </c>
      <c r="G19" s="3" t="s">
        <v>220</v>
      </c>
      <c r="H19" s="3" t="s">
        <v>221</v>
      </c>
    </row>
    <row r="20" spans="1:8" x14ac:dyDescent="0.25">
      <c r="A20" s="3" t="s">
        <v>45</v>
      </c>
      <c r="B20" s="3" t="s">
        <v>222</v>
      </c>
      <c r="C20" s="3">
        <v>0.27</v>
      </c>
      <c r="D20" s="3">
        <v>23</v>
      </c>
      <c r="E20" s="3">
        <v>150</v>
      </c>
      <c r="F20" s="3" t="s">
        <v>223</v>
      </c>
      <c r="G20" s="3" t="s">
        <v>220</v>
      </c>
      <c r="H20" s="3" t="s">
        <v>224</v>
      </c>
    </row>
    <row r="21" spans="1:8" x14ac:dyDescent="0.25">
      <c r="A21" s="3" t="s">
        <v>45</v>
      </c>
      <c r="B21" s="3" t="s">
        <v>225</v>
      </c>
      <c r="C21" s="3">
        <v>0.24</v>
      </c>
      <c r="D21" s="3">
        <v>28</v>
      </c>
      <c r="E21" s="3">
        <v>300</v>
      </c>
      <c r="F21" s="3" t="s">
        <v>226</v>
      </c>
      <c r="G21" s="3" t="s">
        <v>220</v>
      </c>
      <c r="H21" s="3" t="s">
        <v>227</v>
      </c>
    </row>
    <row r="22" spans="1:8" x14ac:dyDescent="0.25">
      <c r="A22" s="3" t="s">
        <v>46</v>
      </c>
      <c r="B22" s="3" t="s">
        <v>218</v>
      </c>
      <c r="C22" s="3">
        <v>0.28000000000000003</v>
      </c>
      <c r="D22" s="3">
        <v>0</v>
      </c>
      <c r="E22" s="3">
        <v>16</v>
      </c>
      <c r="F22" s="3" t="s">
        <v>228</v>
      </c>
      <c r="G22" s="3" t="s">
        <v>220</v>
      </c>
      <c r="H22" s="3" t="s">
        <v>229</v>
      </c>
    </row>
    <row r="23" spans="1:8" x14ac:dyDescent="0.25">
      <c r="A23" s="3" t="s">
        <v>46</v>
      </c>
      <c r="B23" s="3" t="s">
        <v>222</v>
      </c>
      <c r="C23" s="3">
        <v>0.24</v>
      </c>
      <c r="D23" s="3">
        <v>18</v>
      </c>
      <c r="E23" s="3">
        <v>100</v>
      </c>
      <c r="F23" s="3" t="s">
        <v>230</v>
      </c>
      <c r="G23" s="3" t="s">
        <v>220</v>
      </c>
      <c r="H23" s="3" t="s">
        <v>231</v>
      </c>
    </row>
    <row r="24" spans="1:8" x14ac:dyDescent="0.25">
      <c r="A24" s="3" t="s">
        <v>46</v>
      </c>
      <c r="B24" s="3" t="s">
        <v>225</v>
      </c>
      <c r="C24" s="3">
        <v>0.22</v>
      </c>
      <c r="D24" s="3">
        <v>22</v>
      </c>
      <c r="E24" s="3">
        <v>150</v>
      </c>
      <c r="F24" s="3" t="s">
        <v>232</v>
      </c>
      <c r="G24" s="3" t="s">
        <v>220</v>
      </c>
      <c r="H24" s="3" t="s">
        <v>233</v>
      </c>
    </row>
    <row r="25" spans="1:8" x14ac:dyDescent="0.25">
      <c r="A25" s="3" t="s">
        <v>47</v>
      </c>
      <c r="B25" s="3" t="s">
        <v>218</v>
      </c>
      <c r="C25" s="3">
        <v>0.33</v>
      </c>
      <c r="D25" s="3">
        <v>0</v>
      </c>
      <c r="E25" s="3">
        <v>20</v>
      </c>
      <c r="F25" s="3" t="s">
        <v>234</v>
      </c>
      <c r="G25" s="3" t="s">
        <v>220</v>
      </c>
      <c r="H25" s="3" t="s">
        <v>235</v>
      </c>
    </row>
    <row r="26" spans="1:8" x14ac:dyDescent="0.25">
      <c r="A26" s="3" t="s">
        <v>47</v>
      </c>
      <c r="B26" s="3" t="s">
        <v>222</v>
      </c>
      <c r="C26" s="3">
        <v>0.28000000000000003</v>
      </c>
      <c r="D26" s="3">
        <v>20</v>
      </c>
      <c r="E26" s="3">
        <v>120</v>
      </c>
      <c r="F26" s="3" t="s">
        <v>236</v>
      </c>
      <c r="G26" s="3" t="s">
        <v>220</v>
      </c>
      <c r="H26" s="3" t="s">
        <v>237</v>
      </c>
    </row>
    <row r="27" spans="1:8" x14ac:dyDescent="0.25">
      <c r="A27" s="3" t="s">
        <v>47</v>
      </c>
      <c r="B27" s="3" t="s">
        <v>225</v>
      </c>
      <c r="C27" s="3">
        <v>0.26</v>
      </c>
      <c r="D27" s="3">
        <v>24</v>
      </c>
      <c r="E27" s="3">
        <v>180</v>
      </c>
      <c r="F27" s="3" t="s">
        <v>238</v>
      </c>
      <c r="G27" s="3" t="s">
        <v>220</v>
      </c>
      <c r="H27" s="3" t="s">
        <v>239</v>
      </c>
    </row>
    <row r="28" spans="1:8" x14ac:dyDescent="0.25">
      <c r="A28" s="3" t="s">
        <v>48</v>
      </c>
      <c r="B28" s="3" t="s">
        <v>240</v>
      </c>
      <c r="C28" s="3">
        <v>0.3</v>
      </c>
      <c r="D28" s="3">
        <v>0</v>
      </c>
      <c r="E28" s="3">
        <v>0</v>
      </c>
      <c r="F28" s="3" t="s">
        <v>241</v>
      </c>
      <c r="G28" s="3" t="s">
        <v>242</v>
      </c>
      <c r="H28" s="3" t="s">
        <v>243</v>
      </c>
    </row>
    <row r="31" spans="1:8" ht="18.95" customHeight="1" x14ac:dyDescent="0.3">
      <c r="A31" s="1" t="s">
        <v>244</v>
      </c>
    </row>
    <row r="32" spans="1:8" x14ac:dyDescent="0.25">
      <c r="A32" s="2" t="s">
        <v>245</v>
      </c>
      <c r="B32" s="2" t="s">
        <v>246</v>
      </c>
      <c r="C32" s="2" t="s">
        <v>247</v>
      </c>
    </row>
    <row r="33" spans="1:3" x14ac:dyDescent="0.25">
      <c r="A33" s="3" t="s">
        <v>248</v>
      </c>
      <c r="B33" s="3" t="s">
        <v>249</v>
      </c>
      <c r="C33" s="3" t="s">
        <v>250</v>
      </c>
    </row>
    <row r="34" spans="1:3" x14ac:dyDescent="0.25">
      <c r="A34" s="3" t="s">
        <v>251</v>
      </c>
      <c r="B34" s="3" t="s">
        <v>252</v>
      </c>
      <c r="C34" s="3" t="s">
        <v>253</v>
      </c>
    </row>
    <row r="35" spans="1:3" x14ac:dyDescent="0.25">
      <c r="A35" s="3" t="s">
        <v>254</v>
      </c>
      <c r="B35" s="3" t="s">
        <v>255</v>
      </c>
      <c r="C35" s="3" t="s">
        <v>256</v>
      </c>
    </row>
    <row r="36" spans="1:3" x14ac:dyDescent="0.25">
      <c r="A36" s="3" t="s">
        <v>257</v>
      </c>
      <c r="B36" s="3" t="s">
        <v>258</v>
      </c>
      <c r="C36" s="3" t="s">
        <v>259</v>
      </c>
    </row>
    <row r="37" spans="1:3" x14ac:dyDescent="0.25">
      <c r="A37" s="3" t="s">
        <v>260</v>
      </c>
      <c r="B37" s="3" t="s">
        <v>261</v>
      </c>
      <c r="C37" s="3" t="s">
        <v>262</v>
      </c>
    </row>
    <row r="39" spans="1:3" x14ac:dyDescent="0.25">
      <c r="A39" t="s">
        <v>263</v>
      </c>
      <c r="B39" t="s">
        <v>264</v>
      </c>
    </row>
    <row r="40" spans="1:3" x14ac:dyDescent="0.25">
      <c r="A40" t="s">
        <v>265</v>
      </c>
      <c r="B40">
        <v>10</v>
      </c>
    </row>
    <row r="41" spans="1:3" x14ac:dyDescent="0.25">
      <c r="A41" t="s">
        <v>82</v>
      </c>
      <c r="B41">
        <v>8</v>
      </c>
    </row>
    <row r="42" spans="1:3" x14ac:dyDescent="0.25">
      <c r="A42" t="s">
        <v>83</v>
      </c>
      <c r="B42">
        <v>180</v>
      </c>
    </row>
    <row r="43" spans="1:3" x14ac:dyDescent="0.25">
      <c r="A43" t="s">
        <v>84</v>
      </c>
      <c r="B43">
        <v>0.85</v>
      </c>
    </row>
    <row r="44" spans="1:3" x14ac:dyDescent="0.25">
      <c r="A44" t="s">
        <v>266</v>
      </c>
      <c r="B44">
        <v>4</v>
      </c>
    </row>
    <row r="45" spans="1:3" x14ac:dyDescent="0.25">
      <c r="A45" t="s">
        <v>86</v>
      </c>
      <c r="B45">
        <v>0.7</v>
      </c>
    </row>
    <row r="46" spans="1:3" x14ac:dyDescent="0.25">
      <c r="A46" t="s">
        <v>87</v>
      </c>
      <c r="B46">
        <v>12</v>
      </c>
    </row>
    <row r="47" spans="1:3" x14ac:dyDescent="0.25">
      <c r="A47" t="s">
        <v>88</v>
      </c>
      <c r="B47">
        <v>365</v>
      </c>
    </row>
    <row r="49" spans="1:2" x14ac:dyDescent="0.25">
      <c r="A49" t="s">
        <v>267</v>
      </c>
      <c r="B49" t="s">
        <v>264</v>
      </c>
    </row>
    <row r="50" spans="1:2" x14ac:dyDescent="0.25">
      <c r="A50" t="s">
        <v>90</v>
      </c>
      <c r="B50">
        <v>2</v>
      </c>
    </row>
    <row r="51" spans="1:2" x14ac:dyDescent="0.25">
      <c r="A51" t="s">
        <v>91</v>
      </c>
      <c r="B51">
        <v>1.5</v>
      </c>
    </row>
    <row r="52" spans="1:2" x14ac:dyDescent="0.25">
      <c r="A52" t="s">
        <v>92</v>
      </c>
      <c r="B52">
        <v>0.3</v>
      </c>
    </row>
    <row r="53" spans="1:2" x14ac:dyDescent="0.25">
      <c r="A53" t="s">
        <v>93</v>
      </c>
      <c r="B53">
        <v>24</v>
      </c>
    </row>
    <row r="54" spans="1:2" x14ac:dyDescent="0.25">
      <c r="A54" t="s">
        <v>76</v>
      </c>
      <c r="B54">
        <v>365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4"/>
  <sheetViews>
    <sheetView tabSelected="1" workbookViewId="0">
      <selection activeCell="O42" sqref="O42"/>
    </sheetView>
  </sheetViews>
  <sheetFormatPr defaultColWidth="8.85546875" defaultRowHeight="15" outlineLevelRow="2" x14ac:dyDescent="0.25"/>
  <cols>
    <col min="1" max="1" width="37.85546875" customWidth="1"/>
    <col min="2" max="2" width="19.5703125" customWidth="1"/>
    <col min="3" max="3" width="19.28515625" customWidth="1"/>
    <col min="4" max="4" width="17" customWidth="1"/>
    <col min="5" max="5" width="18" customWidth="1"/>
  </cols>
  <sheetData>
    <row r="1" spans="1:8" ht="111.75" customHeight="1" x14ac:dyDescent="0.25">
      <c r="A1" s="47"/>
      <c r="B1" s="47"/>
      <c r="C1" s="47"/>
      <c r="D1" s="47"/>
      <c r="E1" s="47"/>
      <c r="F1" s="47"/>
      <c r="G1" s="47"/>
      <c r="H1" s="47"/>
    </row>
    <row r="2" spans="1:8" ht="23.25" x14ac:dyDescent="0.35">
      <c r="B2" s="29" t="s">
        <v>295</v>
      </c>
      <c r="C2" s="29"/>
    </row>
    <row r="3" spans="1:8" ht="21" x14ac:dyDescent="0.35">
      <c r="B3" s="27"/>
      <c r="C3" s="27"/>
    </row>
    <row r="4" spans="1:8" s="18" customFormat="1" ht="15.75" x14ac:dyDescent="0.25">
      <c r="A4" s="20" t="s">
        <v>300</v>
      </c>
      <c r="B4" s="19"/>
    </row>
    <row r="5" spans="1:8" s="18" customFormat="1" ht="15.75" x14ac:dyDescent="0.25">
      <c r="A5" s="20" t="s">
        <v>299</v>
      </c>
      <c r="B5" s="21"/>
      <c r="C5" s="18" t="s">
        <v>268</v>
      </c>
      <c r="D5" s="18" t="s">
        <v>269</v>
      </c>
      <c r="E5" s="18" t="s">
        <v>270</v>
      </c>
      <c r="F5" s="18" t="s">
        <v>271</v>
      </c>
    </row>
    <row r="6" spans="1:8" s="18" customFormat="1" x14ac:dyDescent="0.25">
      <c r="B6" s="18" t="s">
        <v>29</v>
      </c>
      <c r="C6" s="18" t="s">
        <v>29</v>
      </c>
      <c r="D6" s="18" t="s">
        <v>29</v>
      </c>
      <c r="E6" s="18" t="s">
        <v>29</v>
      </c>
      <c r="F6" s="18" t="s">
        <v>29</v>
      </c>
    </row>
    <row r="7" spans="1:8" ht="72" customHeight="1" x14ac:dyDescent="0.25">
      <c r="A7" s="48" t="s">
        <v>297</v>
      </c>
      <c r="B7" s="48"/>
      <c r="C7" s="48"/>
      <c r="D7" s="48"/>
      <c r="E7" s="48"/>
    </row>
    <row r="8" spans="1:8" ht="18" customHeight="1" x14ac:dyDescent="0.25">
      <c r="A8" s="22"/>
      <c r="B8" s="22"/>
      <c r="C8" s="22"/>
      <c r="D8" s="22"/>
      <c r="E8" s="22"/>
    </row>
    <row r="9" spans="1:8" ht="18.75" x14ac:dyDescent="0.3">
      <c r="A9" s="1" t="s">
        <v>298</v>
      </c>
    </row>
    <row r="10" spans="1:8" x14ac:dyDescent="0.25">
      <c r="A10" s="33" t="s">
        <v>272</v>
      </c>
      <c r="B10" s="33" t="s">
        <v>100</v>
      </c>
      <c r="C10" s="33" t="s">
        <v>273</v>
      </c>
      <c r="D10" s="33" t="s">
        <v>274</v>
      </c>
      <c r="E10" s="33" t="s">
        <v>101</v>
      </c>
    </row>
    <row r="11" spans="1:8" outlineLevel="2" x14ac:dyDescent="0.25">
      <c r="A11" s="14" t="s">
        <v>279</v>
      </c>
      <c r="B11" s="15">
        <f>IF($B$6="Yes", Inputs_Calcs!B253, "")</f>
        <v>15768.000000000002</v>
      </c>
      <c r="C11" s="15">
        <f t="shared" ref="C11:C27" si="0">IF($C$6="Yes", 0, "")</f>
        <v>0</v>
      </c>
      <c r="D11" s="15">
        <f>IF($D$6="Yes", N(B11)*3.412 + N(C11)*100, "")</f>
        <v>53800.416000000005</v>
      </c>
      <c r="E11" s="16">
        <f>IF($E$6="Yes", Inputs_Calcs!B254, "")</f>
        <v>3468.9600000000005</v>
      </c>
    </row>
    <row r="12" spans="1:8" outlineLevel="2" x14ac:dyDescent="0.25">
      <c r="A12" s="30" t="s">
        <v>288</v>
      </c>
      <c r="B12" s="31">
        <f>IF(B11="",0,B11)</f>
        <v>15768.000000000002</v>
      </c>
      <c r="C12" s="31">
        <f>IF(C11="",0,C11)</f>
        <v>0</v>
      </c>
      <c r="D12" s="31">
        <f>IF(D11="",0,D11)</f>
        <v>53800.416000000005</v>
      </c>
      <c r="E12" s="32">
        <f>IF(E11="",0,E11)</f>
        <v>3468.9600000000005</v>
      </c>
    </row>
    <row r="13" spans="1:8" outlineLevel="2" x14ac:dyDescent="0.25">
      <c r="A13" s="14" t="s">
        <v>276</v>
      </c>
      <c r="B13" s="15">
        <f>IF($B$6="Yes", Inputs_Calcs!B255, "")</f>
        <v>3000.3</v>
      </c>
      <c r="C13" s="15">
        <f>IF($C$6="Yes", 0, "")</f>
        <v>0</v>
      </c>
      <c r="D13" s="15">
        <f t="shared" ref="D13:D28" si="1">IF($D$6="Yes", N(B13)*3.412 + N(C13)*100, "")</f>
        <v>10237.0236</v>
      </c>
      <c r="E13" s="16">
        <f>IF($E$6="Yes", Inputs_Calcs!B256, "")</f>
        <v>660.06600000000014</v>
      </c>
    </row>
    <row r="14" spans="1:8" hidden="1" outlineLevel="2" x14ac:dyDescent="0.25">
      <c r="A14" s="14" t="s">
        <v>277</v>
      </c>
      <c r="B14" s="15">
        <f>IF($B$6="Yes", Inputs_Calcs!B157, "")</f>
        <v>0</v>
      </c>
      <c r="C14" s="15">
        <f t="shared" si="0"/>
        <v>0</v>
      </c>
      <c r="D14" s="15">
        <f t="shared" si="1"/>
        <v>0</v>
      </c>
      <c r="E14" s="16">
        <f>IF($E$6="Yes", Inputs_Calcs!B257, "")</f>
        <v>0</v>
      </c>
    </row>
    <row r="15" spans="1:8" outlineLevel="2" x14ac:dyDescent="0.25">
      <c r="A15" s="30" t="s">
        <v>317</v>
      </c>
      <c r="B15" s="31">
        <f>IF(B16+B13+B14="",0,B16+B13+B14)</f>
        <v>32449.471347200004</v>
      </c>
      <c r="C15" s="31">
        <f>IF(C16+C13+C14="",0,C16+C13+C14)</f>
        <v>0</v>
      </c>
      <c r="D15" s="31">
        <f>IF(D16+D13+D14="",0,D16+D13+D14)</f>
        <v>110717.59623664641</v>
      </c>
      <c r="E15" s="32">
        <f>IF(E16+E13+E14="",0,E16+E13+E14)</f>
        <v>7138.8836963840013</v>
      </c>
    </row>
    <row r="16" spans="1:8" outlineLevel="2" x14ac:dyDescent="0.25">
      <c r="A16" s="14" t="s">
        <v>275</v>
      </c>
      <c r="B16" s="15">
        <f>IF($B$6="Yes", Inputs_Calcs!B249, "")</f>
        <v>29449.171347200005</v>
      </c>
      <c r="C16" s="15">
        <f t="shared" si="0"/>
        <v>0</v>
      </c>
      <c r="D16" s="15">
        <f>IF($D$6="Yes", N(B16)*3.412 + N(C16)*100, "")</f>
        <v>100480.57263664641</v>
      </c>
      <c r="E16" s="16">
        <f>IF($E$6="Yes", Inputs_Calcs!B250, "")</f>
        <v>6478.8176963840015</v>
      </c>
    </row>
    <row r="17" spans="1:5" outlineLevel="2" x14ac:dyDescent="0.25">
      <c r="A17" s="14" t="s">
        <v>283</v>
      </c>
      <c r="B17" s="15">
        <f>IF($B$6="Yes", Inputs_Calcs!B236, "")</f>
        <v>8556.2000000000007</v>
      </c>
      <c r="C17" s="15">
        <f>IF($C$6="Yes", 0, "")</f>
        <v>0</v>
      </c>
      <c r="D17" s="15">
        <f>IF($D$6="Yes", N(B17)*3.412 + N(C17)*100, "")</f>
        <v>29193.754400000002</v>
      </c>
      <c r="E17" s="16">
        <f>IF($E$6="Yes", Inputs_Calcs!B265, "")</f>
        <v>1882.3640000000003</v>
      </c>
    </row>
    <row r="18" spans="1:5" outlineLevel="2" x14ac:dyDescent="0.25">
      <c r="A18" s="14" t="s">
        <v>284</v>
      </c>
      <c r="B18" s="15">
        <f>IF($B$6="Yes", Inputs_Calcs!B241, "")</f>
        <v>6417.1500000000005</v>
      </c>
      <c r="C18" s="15">
        <f>IF($C$6="Yes", 0, "")</f>
        <v>0</v>
      </c>
      <c r="D18" s="15">
        <f>IF($D$6="Yes", N(B18)*3.412 + N(C18)*100, "")</f>
        <v>21895.3158</v>
      </c>
      <c r="E18" s="16">
        <f>IF($E$6="Yes", Inputs_Calcs!B267, "")</f>
        <v>1411.7730000000001</v>
      </c>
    </row>
    <row r="19" spans="1:5" outlineLevel="2" x14ac:dyDescent="0.25">
      <c r="A19" s="14" t="s">
        <v>285</v>
      </c>
      <c r="B19" s="15">
        <f>IF($B$6="Yes", Inputs_Calcs!B244, "")</f>
        <v>47899.609919999995</v>
      </c>
      <c r="C19" s="15">
        <f>IF($C$6="Yes", 0, "")</f>
        <v>0</v>
      </c>
      <c r="D19" s="15">
        <f>IF($D$6="Yes", N(B19)*3.412 + N(C19)*100, "")</f>
        <v>163433.46904703998</v>
      </c>
      <c r="E19" s="16">
        <f>IF($E$6="Yes", Inputs_Calcs!B268, "")</f>
        <v>10537.9141824</v>
      </c>
    </row>
    <row r="20" spans="1:5" outlineLevel="2" x14ac:dyDescent="0.25">
      <c r="A20" s="14" t="s">
        <v>318</v>
      </c>
      <c r="B20" s="15">
        <f>5200*1.03</f>
        <v>5356</v>
      </c>
      <c r="C20" s="15"/>
      <c r="D20" s="15"/>
      <c r="E20" s="16"/>
    </row>
    <row r="21" spans="1:5" outlineLevel="2" x14ac:dyDescent="0.25">
      <c r="A21" s="30" t="s">
        <v>316</v>
      </c>
      <c r="B21" s="31">
        <f>IF(B17+B18+B19="",0,B17+B18+B19)</f>
        <v>62872.959919999994</v>
      </c>
      <c r="C21" s="31">
        <f>IF(C17+C18+C19="",0,C17+C18+C19)</f>
        <v>0</v>
      </c>
      <c r="D21" s="31">
        <f>IF(D17+D18+D19="",0,D17+D18+D19)</f>
        <v>214522.53924704</v>
      </c>
      <c r="E21" s="32">
        <f>IF(E17+E18+E19="",0,E17+E18+E19)</f>
        <v>13832.0511824</v>
      </c>
    </row>
    <row r="22" spans="1:5" hidden="1" outlineLevel="2" x14ac:dyDescent="0.25">
      <c r="A22" s="14" t="s">
        <v>278</v>
      </c>
      <c r="B22" s="15">
        <f>IF($B$6="Yes", Inputs_Calcs!B164, "")</f>
        <v>0</v>
      </c>
      <c r="C22" s="15">
        <f t="shared" si="0"/>
        <v>0</v>
      </c>
      <c r="D22" s="15">
        <f t="shared" si="1"/>
        <v>0</v>
      </c>
      <c r="E22" s="16">
        <f>IF($E$6="Yes", Inputs_Calcs!B258, "")</f>
        <v>0</v>
      </c>
    </row>
    <row r="23" spans="1:5" hidden="1" outlineLevel="2" x14ac:dyDescent="0.25">
      <c r="A23" s="30" t="s">
        <v>286</v>
      </c>
      <c r="B23" s="31">
        <f>IF(B22="",0,B22)</f>
        <v>0</v>
      </c>
      <c r="C23" s="31">
        <f>IF(C22="",0,C22)</f>
        <v>0</v>
      </c>
      <c r="D23" s="31">
        <f>IF(D22="",0,D22)</f>
        <v>0</v>
      </c>
      <c r="E23" s="32">
        <f>IF(E22="",0,E22)</f>
        <v>0</v>
      </c>
    </row>
    <row r="24" spans="1:5" x14ac:dyDescent="0.25">
      <c r="A24" s="14" t="s">
        <v>104</v>
      </c>
      <c r="B24" s="15">
        <f>IF($B$6="Yes", Inputs_Calcs!B251, "")</f>
        <v>16000</v>
      </c>
      <c r="C24" s="15">
        <f t="shared" si="0"/>
        <v>0</v>
      </c>
      <c r="D24" s="15">
        <f t="shared" si="1"/>
        <v>54592</v>
      </c>
      <c r="E24" s="16">
        <f>IF($E$6="Yes", Inputs_Calcs!B252, "")</f>
        <v>3520</v>
      </c>
    </row>
    <row r="25" spans="1:5" x14ac:dyDescent="0.25">
      <c r="A25" s="30" t="s">
        <v>287</v>
      </c>
      <c r="B25" s="31">
        <f>IF(B24="",0,B24)</f>
        <v>16000</v>
      </c>
      <c r="C25" s="31">
        <f>IF(C24="",0,C24)</f>
        <v>0</v>
      </c>
      <c r="D25" s="31">
        <f>IF(D24="",0,D24)</f>
        <v>54592</v>
      </c>
      <c r="E25" s="32">
        <f>IF(E24="",0,E24)</f>
        <v>3520</v>
      </c>
    </row>
    <row r="26" spans="1:5" hidden="1" outlineLevel="1" x14ac:dyDescent="0.25">
      <c r="A26" s="14" t="s">
        <v>280</v>
      </c>
      <c r="B26" s="15">
        <f>IF($B$6="Yes", Inputs_Calcs!B259, "")</f>
        <v>0</v>
      </c>
      <c r="C26" s="15">
        <f t="shared" si="0"/>
        <v>0</v>
      </c>
      <c r="D26" s="15">
        <f t="shared" si="1"/>
        <v>0</v>
      </c>
      <c r="E26" s="16">
        <f>IF($E$6="Yes", Inputs_Calcs!B260, "")</f>
        <v>0</v>
      </c>
    </row>
    <row r="27" spans="1:5" hidden="1" outlineLevel="1" x14ac:dyDescent="0.25">
      <c r="A27" s="14" t="s">
        <v>281</v>
      </c>
      <c r="B27" s="15">
        <f>IF($B$6="Yes", Inputs_Calcs!B261, "")</f>
        <v>0</v>
      </c>
      <c r="C27" s="15">
        <f t="shared" si="0"/>
        <v>0</v>
      </c>
      <c r="D27" s="15">
        <f t="shared" si="1"/>
        <v>0</v>
      </c>
      <c r="E27" s="16">
        <f>IF($E$6="Yes", Inputs_Calcs!B263, "")</f>
        <v>0</v>
      </c>
    </row>
    <row r="28" spans="1:5" hidden="1" outlineLevel="1" x14ac:dyDescent="0.25">
      <c r="A28" s="14" t="s">
        <v>282</v>
      </c>
      <c r="B28" s="15">
        <f>IF($B$6="Yes", 0, "")</f>
        <v>0</v>
      </c>
      <c r="C28" s="15">
        <f>IF(AND($C$6="Yes",$F$6="Yes"), Inputs_Calcs!B262, "")</f>
        <v>0</v>
      </c>
      <c r="D28" s="15">
        <f t="shared" si="1"/>
        <v>0</v>
      </c>
      <c r="E28" s="16">
        <f>IF(AND($E$6="Yes",$F$6="Yes"), Inputs_Calcs!B264, "")</f>
        <v>0</v>
      </c>
    </row>
    <row r="29" spans="1:5" hidden="1" outlineLevel="1" x14ac:dyDescent="0.25">
      <c r="A29" s="30" t="s">
        <v>289</v>
      </c>
      <c r="B29" s="31">
        <f>IF(B26+B27+B28="",0,B26+B27+B28)</f>
        <v>0</v>
      </c>
      <c r="C29" s="31">
        <f>IF(C26+C27+C28="",0,C26+C27+C28)</f>
        <v>0</v>
      </c>
      <c r="D29" s="31">
        <f>IF(D26+D27+D28="",0,D26+D27+D28)</f>
        <v>0</v>
      </c>
      <c r="E29" s="32">
        <f>IF(E26+E27+E28="",0,E26+E27+E28)</f>
        <v>0</v>
      </c>
    </row>
    <row r="30" spans="1:5" hidden="1" outlineLevel="1" x14ac:dyDescent="0.25">
      <c r="A30" s="40" t="s">
        <v>315</v>
      </c>
      <c r="B30" s="41">
        <v>0</v>
      </c>
      <c r="C30" s="41"/>
      <c r="D30" s="41"/>
      <c r="E30" s="42"/>
    </row>
    <row r="31" spans="1:5" outlineLevel="1" x14ac:dyDescent="0.25">
      <c r="A31" s="40" t="s">
        <v>311</v>
      </c>
      <c r="B31" s="41">
        <f>Inputs_Calcs!B205</f>
        <v>58.614285714285721</v>
      </c>
      <c r="C31" s="41"/>
      <c r="D31" s="41"/>
      <c r="E31" s="42"/>
    </row>
    <row r="32" spans="1:5" outlineLevel="1" x14ac:dyDescent="0.25">
      <c r="A32" s="40" t="s">
        <v>304</v>
      </c>
      <c r="B32" s="41">
        <f>Inputs_Calcs!B213</f>
        <v>8760</v>
      </c>
      <c r="C32" s="41"/>
      <c r="D32" s="41"/>
      <c r="E32" s="42"/>
    </row>
    <row r="33" spans="1:5" outlineLevel="1" x14ac:dyDescent="0.25">
      <c r="A33" s="40" t="s">
        <v>312</v>
      </c>
      <c r="B33" s="41">
        <f>Inputs_Calcs!B221</f>
        <v>4667.8285714285721</v>
      </c>
      <c r="C33" s="41"/>
      <c r="D33" s="41"/>
      <c r="E33" s="42"/>
    </row>
    <row r="34" spans="1:5" hidden="1" outlineLevel="1" x14ac:dyDescent="0.25">
      <c r="A34" s="40" t="s">
        <v>310</v>
      </c>
      <c r="B34" s="41">
        <f>Inputs_Calcs!B229</f>
        <v>0</v>
      </c>
      <c r="C34" s="41"/>
      <c r="D34" s="41"/>
      <c r="E34" s="42"/>
    </row>
    <row r="35" spans="1:5" hidden="1" outlineLevel="1" x14ac:dyDescent="0.25">
      <c r="A35" s="43" t="s">
        <v>313</v>
      </c>
      <c r="B35" s="41">
        <v>0</v>
      </c>
      <c r="C35" s="41"/>
      <c r="D35" s="41"/>
      <c r="E35" s="42"/>
    </row>
    <row r="36" spans="1:5" hidden="1" outlineLevel="1" x14ac:dyDescent="0.25">
      <c r="A36" s="43" t="s">
        <v>314</v>
      </c>
      <c r="B36">
        <v>0</v>
      </c>
    </row>
    <row r="37" spans="1:5" outlineLevel="1" x14ac:dyDescent="0.25">
      <c r="A37" s="34" t="s">
        <v>290</v>
      </c>
      <c r="B37" s="35">
        <f>B16+B13+B14+B22+B24+B11+B26+B27+B28+B17+B18+B19+B31+B32+B33+B34+B35+B36+B30</f>
        <v>140576.87412434284</v>
      </c>
      <c r="C37" s="35">
        <f>C16+C13+C14+C22+C24+C11+C26+C27+C28+C17+C18+C19</f>
        <v>0</v>
      </c>
      <c r="D37" s="35">
        <f>D16+D13+D14+D22+D24+D11+D26+D27+D28+D17+D18+D19</f>
        <v>433632.55148368637</v>
      </c>
      <c r="E37" s="36">
        <f>E16+E13+E14+E22+E24+E11+E26+E27+E28+E17+E18+E19</f>
        <v>27959.894878784002</v>
      </c>
    </row>
    <row r="38" spans="1:5" x14ac:dyDescent="0.25">
      <c r="A38" t="s">
        <v>321</v>
      </c>
      <c r="B38" s="49">
        <f>B37-B12</f>
        <v>124808.87412434284</v>
      </c>
      <c r="C38" s="44"/>
    </row>
    <row r="40" spans="1:5" x14ac:dyDescent="0.25">
      <c r="A40" s="50" t="s">
        <v>322</v>
      </c>
      <c r="B40" s="51">
        <v>564584</v>
      </c>
    </row>
    <row r="41" spans="1:5" x14ac:dyDescent="0.25">
      <c r="A41" s="50" t="s">
        <v>323</v>
      </c>
      <c r="B41" s="51">
        <f>B38+424107</f>
        <v>548915.87412434281</v>
      </c>
    </row>
    <row r="42" spans="1:5" x14ac:dyDescent="0.25">
      <c r="B42" s="49"/>
    </row>
    <row r="43" spans="1:5" x14ac:dyDescent="0.25">
      <c r="A43" s="28" t="s">
        <v>246</v>
      </c>
      <c r="B43" s="26"/>
      <c r="C43" s="28" t="s">
        <v>26</v>
      </c>
      <c r="D43" s="26"/>
      <c r="E43" s="26"/>
    </row>
    <row r="44" spans="1:5" x14ac:dyDescent="0.25">
      <c r="A44" s="47" t="s">
        <v>249</v>
      </c>
      <c r="B44" s="47"/>
      <c r="C44" t="s">
        <v>250</v>
      </c>
    </row>
    <row r="45" spans="1:5" x14ac:dyDescent="0.25">
      <c r="A45" s="47" t="s">
        <v>252</v>
      </c>
      <c r="B45" s="47"/>
      <c r="C45" t="s">
        <v>253</v>
      </c>
    </row>
    <row r="46" spans="1:5" x14ac:dyDescent="0.25">
      <c r="A46" t="s">
        <v>255</v>
      </c>
      <c r="C46" t="s">
        <v>256</v>
      </c>
    </row>
    <row r="47" spans="1:5" x14ac:dyDescent="0.25">
      <c r="A47" s="47" t="s">
        <v>258</v>
      </c>
      <c r="B47" s="47"/>
      <c r="C47" t="s">
        <v>259</v>
      </c>
    </row>
    <row r="48" spans="1:5" x14ac:dyDescent="0.25">
      <c r="A48" s="47" t="s">
        <v>296</v>
      </c>
      <c r="B48" s="47"/>
      <c r="C48" t="s">
        <v>262</v>
      </c>
    </row>
    <row r="50" spans="1:3" x14ac:dyDescent="0.25">
      <c r="A50" s="24" t="s">
        <v>292</v>
      </c>
    </row>
    <row r="51" spans="1:3" x14ac:dyDescent="0.25">
      <c r="A51" s="23" t="str">
        <f>Inputs_Calcs!G3</f>
        <v>Electricity Rate ($/kWh)</v>
      </c>
      <c r="C51" s="25">
        <f>Inputs_Calcs!H3</f>
        <v>0.22</v>
      </c>
    </row>
    <row r="52" spans="1:3" x14ac:dyDescent="0.25">
      <c r="A52" s="23" t="str">
        <f>Inputs_Calcs!J3</f>
        <v>Gas Rate ($/therm)</v>
      </c>
      <c r="C52" s="25">
        <f>Inputs_Calcs!K3</f>
        <v>1.5</v>
      </c>
    </row>
    <row r="53" spans="1:3" x14ac:dyDescent="0.25">
      <c r="A53" t="str">
        <f>Inputs_Calcs!A46</f>
        <v>Rated kW per EV Port</v>
      </c>
      <c r="C53">
        <f>Inputs_Calcs!B46</f>
        <v>7.2</v>
      </c>
    </row>
    <row r="54" spans="1:3" x14ac:dyDescent="0.25">
      <c r="A54" t="str">
        <f>Inputs_Calcs!A47</f>
        <v>Avg Use per EV Port (hours/day)</v>
      </c>
      <c r="C54">
        <f>Inputs_Calcs!B47</f>
        <v>6</v>
      </c>
    </row>
    <row r="56" spans="1:3" x14ac:dyDescent="0.25">
      <c r="A56" s="24" t="s">
        <v>294</v>
      </c>
    </row>
    <row r="57" spans="1:3" x14ac:dyDescent="0.25">
      <c r="A57" t="str">
        <f>Inputs_Calcs!A69</f>
        <v>Pool Size (ft² surface area)</v>
      </c>
      <c r="C57">
        <f>Inputs_Calcs!B69</f>
        <v>0</v>
      </c>
    </row>
    <row r="58" spans="1:3" x14ac:dyDescent="0.25">
      <c r="A58" t="str">
        <f>Inputs_Calcs!A61</f>
        <v>Parking Garage Area (ft²)</v>
      </c>
      <c r="C58">
        <f>Inputs_Calcs!B61</f>
        <v>0</v>
      </c>
    </row>
    <row r="59" spans="1:3" x14ac:dyDescent="0.25">
      <c r="A59" t="str">
        <f>Inputs_Calcs!A52</f>
        <v>Hardscape / Parking Areas</v>
      </c>
      <c r="C59">
        <f>Inputs_Calcs!B52</f>
        <v>400</v>
      </c>
    </row>
    <row r="60" spans="1:3" x14ac:dyDescent="0.25">
      <c r="A60" t="str">
        <f>Inputs_Calcs!A42</f>
        <v># of Elevators</v>
      </c>
      <c r="C60">
        <f>Inputs_Calcs!B42</f>
        <v>1</v>
      </c>
    </row>
    <row r="61" spans="1:3" x14ac:dyDescent="0.25">
      <c r="A61" t="str">
        <f>Inputs_Calcs!A43</f>
        <v>Total Parking Spaces</v>
      </c>
      <c r="C61">
        <f>Inputs_Calcs!B43</f>
        <v>82</v>
      </c>
    </row>
    <row r="62" spans="1:3" x14ac:dyDescent="0.25">
      <c r="A62" t="str">
        <f>Inputs_Calcs!A44</f>
        <v>% EV Charger Spaces of Total</v>
      </c>
      <c r="C62">
        <f>Inputs_Calcs!B44</f>
        <v>10</v>
      </c>
    </row>
    <row r="63" spans="1:3" x14ac:dyDescent="0.25">
      <c r="A63" t="str">
        <f>Inputs_Calcs!A233</f>
        <v>Total Conditioned Area (ft²)</v>
      </c>
      <c r="C63">
        <f>Inputs_Calcs!B233</f>
        <v>4278.1000000000004</v>
      </c>
    </row>
    <row r="64" spans="1:3" x14ac:dyDescent="0.25">
      <c r="A64" t="s">
        <v>293</v>
      </c>
      <c r="C64">
        <f>Inputs_Calcs!B234-C58</f>
        <v>18226.64</v>
      </c>
    </row>
  </sheetData>
  <mergeCells count="6">
    <mergeCell ref="A48:B48"/>
    <mergeCell ref="A1:H1"/>
    <mergeCell ref="A7:E7"/>
    <mergeCell ref="A44:B44"/>
    <mergeCell ref="A45:B45"/>
    <mergeCell ref="A47:B47"/>
  </mergeCells>
  <dataValidations count="1">
    <dataValidation type="list" showInputMessage="1" showErrorMessage="1" sqref="B6:F6" xr:uid="{00000000-0002-0000-0400-000000000000}">
      <formula1>"Yes,No"</formula1>
    </dataValidation>
  </dataValidations>
  <pageMargins left="0.7" right="0.7" top="0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Inputs_Calcs</vt:lpstr>
      <vt:lpstr>Definitions</vt:lpstr>
      <vt:lpstr>Lookups_References</vt:lpstr>
      <vt:lpstr>Report_Client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 White</cp:lastModifiedBy>
  <cp:lastPrinted>2025-08-27T23:48:34Z</cp:lastPrinted>
  <dcterms:created xsi:type="dcterms:W3CDTF">2025-08-22T17:38:15Z</dcterms:created>
  <dcterms:modified xsi:type="dcterms:W3CDTF">2025-12-10T22:43:22Z</dcterms:modified>
</cp:coreProperties>
</file>