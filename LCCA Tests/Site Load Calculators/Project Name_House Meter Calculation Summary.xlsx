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T:\Services\Energy Modeling\02_Templates &amp; Tools\Calculators\Site Energy Use\"/>
    </mc:Choice>
  </mc:AlternateContent>
  <xr:revisionPtr revIDLastSave="0" documentId="13_ncr:1_{B2F7169F-70CC-4800-B599-D481496266B6}" xr6:coauthVersionLast="47" xr6:coauthVersionMax="47" xr10:uidLastSave="{00000000-0000-0000-0000-000000000000}"/>
  <bookViews>
    <workbookView xWindow="6720" yWindow="1860" windowWidth="28800" windowHeight="15435" xr2:uid="{00000000-000D-0000-FFFF-FFFF00000000}"/>
  </bookViews>
  <sheets>
    <sheet name="Summary" sheetId="6" r:id="rId1"/>
    <sheet name="EV Calculator" sheetId="8" r:id="rId2"/>
    <sheet name="Pool Energy Use Calculator" sheetId="5" r:id="rId3"/>
    <sheet name="ap-HourlyResults" sheetId="7" r:id="rId4"/>
    <sheet name="pump assumptions &amp; calcs" sheetId="3" state="hidden" r:id="rId5"/>
    <sheet name="htg assumptions &amp; calcs" sheetId="2" state="hidden" r:id="rId6"/>
  </sheets>
  <definedNames>
    <definedName name="heater_efficiency">'Pool Energy Use Calculator'!$C$34</definedName>
    <definedName name="Monthsperyear">'pump assumptions &amp; calcs'!$C$34</definedName>
    <definedName name="poolcover">'Pool Energy Use Calculator'!$C$30</definedName>
    <definedName name="turnovers">'pump assumptions &amp; calcs'!$C$40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5" l="1"/>
  <c r="D6" i="8" l="1"/>
  <c r="G23" i="6" s="1"/>
  <c r="G22" i="6" s="1"/>
  <c r="C22" i="6"/>
  <c r="C21" i="6"/>
  <c r="C20" i="6"/>
  <c r="C19" i="6"/>
  <c r="C18" i="6"/>
  <c r="C17" i="6"/>
  <c r="C16" i="6"/>
  <c r="C15" i="6"/>
  <c r="C14" i="6"/>
  <c r="C13" i="6"/>
  <c r="C12" i="6"/>
  <c r="C11" i="6"/>
  <c r="G29" i="5"/>
  <c r="G13" i="6" l="1"/>
  <c r="G14" i="6"/>
  <c r="G15" i="6"/>
  <c r="G16" i="6"/>
  <c r="G17" i="6"/>
  <c r="G18" i="6"/>
  <c r="G19" i="6"/>
  <c r="G20" i="6"/>
  <c r="G11" i="6"/>
  <c r="G21" i="6"/>
  <c r="G12" i="6"/>
  <c r="C23" i="6"/>
  <c r="F14" i="6" s="1"/>
  <c r="D34" i="5"/>
  <c r="E39" i="3"/>
  <c r="E33" i="3"/>
  <c r="C33" i="3" s="1"/>
  <c r="C34" i="3" s="1"/>
  <c r="D19" i="5" s="1"/>
  <c r="C38" i="3"/>
  <c r="C32"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C27" i="3"/>
  <c r="C28" i="3" s="1"/>
  <c r="C26" i="3"/>
  <c r="M53" i="2"/>
  <c r="N53" i="2"/>
  <c r="O53" i="2"/>
  <c r="Q53" i="2"/>
  <c r="R53" i="2"/>
  <c r="S53" i="2"/>
  <c r="M54" i="2"/>
  <c r="N54" i="2"/>
  <c r="O54" i="2"/>
  <c r="Q54" i="2"/>
  <c r="R54" i="2"/>
  <c r="S54" i="2"/>
  <c r="M55" i="2"/>
  <c r="N55" i="2"/>
  <c r="O55" i="2"/>
  <c r="Q55" i="2"/>
  <c r="R55" i="2"/>
  <c r="S55" i="2"/>
  <c r="M56" i="2"/>
  <c r="N56" i="2"/>
  <c r="O56" i="2"/>
  <c r="Q56" i="2"/>
  <c r="R56" i="2"/>
  <c r="S56" i="2"/>
  <c r="M57" i="2"/>
  <c r="N57" i="2"/>
  <c r="O57" i="2"/>
  <c r="Q57" i="2"/>
  <c r="R57" i="2"/>
  <c r="S57" i="2"/>
  <c r="M58" i="2"/>
  <c r="N58" i="2"/>
  <c r="O58" i="2"/>
  <c r="Q58" i="2"/>
  <c r="R58" i="2"/>
  <c r="S58" i="2"/>
  <c r="M59" i="2"/>
  <c r="N59" i="2"/>
  <c r="O59" i="2"/>
  <c r="Q59" i="2"/>
  <c r="R59" i="2"/>
  <c r="S59" i="2"/>
  <c r="M60" i="2"/>
  <c r="N60" i="2"/>
  <c r="O60" i="2"/>
  <c r="Q60" i="2"/>
  <c r="R60" i="2"/>
  <c r="S60" i="2"/>
  <c r="M61" i="2"/>
  <c r="N61" i="2"/>
  <c r="O61" i="2"/>
  <c r="Q61" i="2"/>
  <c r="R61" i="2"/>
  <c r="S61" i="2"/>
  <c r="M62" i="2"/>
  <c r="N62" i="2"/>
  <c r="O62" i="2"/>
  <c r="Q62" i="2"/>
  <c r="R62" i="2"/>
  <c r="S62" i="2"/>
  <c r="M63" i="2"/>
  <c r="N63" i="2"/>
  <c r="O63" i="2"/>
  <c r="Q63" i="2"/>
  <c r="R63" i="2"/>
  <c r="S63" i="2"/>
  <c r="M64" i="2"/>
  <c r="N64" i="2"/>
  <c r="O64" i="2"/>
  <c r="Q64" i="2"/>
  <c r="R64" i="2"/>
  <c r="S64" i="2"/>
  <c r="M65" i="2"/>
  <c r="N65" i="2"/>
  <c r="O65" i="2"/>
  <c r="Q65" i="2"/>
  <c r="R65" i="2"/>
  <c r="S65" i="2"/>
  <c r="M66" i="2"/>
  <c r="N66" i="2"/>
  <c r="O66" i="2"/>
  <c r="Q66" i="2"/>
  <c r="R66" i="2"/>
  <c r="S66" i="2"/>
  <c r="M67" i="2"/>
  <c r="N67" i="2"/>
  <c r="O67" i="2"/>
  <c r="Q67" i="2"/>
  <c r="R67" i="2"/>
  <c r="S67" i="2"/>
  <c r="M68" i="2"/>
  <c r="N68" i="2"/>
  <c r="O68" i="2"/>
  <c r="Q68" i="2"/>
  <c r="R68" i="2"/>
  <c r="S68" i="2"/>
  <c r="M69" i="2"/>
  <c r="N69" i="2"/>
  <c r="O69" i="2"/>
  <c r="Q69" i="2"/>
  <c r="R69" i="2"/>
  <c r="S69" i="2"/>
  <c r="M70" i="2"/>
  <c r="N70" i="2"/>
  <c r="O70" i="2"/>
  <c r="Q70" i="2"/>
  <c r="R70" i="2"/>
  <c r="S70" i="2"/>
  <c r="M71" i="2"/>
  <c r="N71" i="2"/>
  <c r="O71" i="2"/>
  <c r="Q71" i="2"/>
  <c r="R71" i="2"/>
  <c r="S71" i="2"/>
  <c r="M72" i="2"/>
  <c r="N72" i="2"/>
  <c r="O72" i="2"/>
  <c r="Q72" i="2"/>
  <c r="R72" i="2"/>
  <c r="S72" i="2"/>
  <c r="M73" i="2"/>
  <c r="N73" i="2"/>
  <c r="O73" i="2"/>
  <c r="Q73" i="2"/>
  <c r="R73" i="2"/>
  <c r="S73" i="2"/>
  <c r="M74" i="2"/>
  <c r="N74" i="2"/>
  <c r="O74" i="2"/>
  <c r="Q74" i="2"/>
  <c r="R74" i="2"/>
  <c r="S74" i="2"/>
  <c r="M75" i="2"/>
  <c r="N75" i="2"/>
  <c r="O75" i="2"/>
  <c r="Q75" i="2"/>
  <c r="R75" i="2"/>
  <c r="S75" i="2"/>
  <c r="M76" i="2"/>
  <c r="N76" i="2"/>
  <c r="O76" i="2"/>
  <c r="Q76" i="2"/>
  <c r="R76" i="2"/>
  <c r="S76" i="2"/>
  <c r="M77" i="2"/>
  <c r="N77" i="2"/>
  <c r="O77" i="2"/>
  <c r="Q77" i="2"/>
  <c r="R77" i="2"/>
  <c r="S77" i="2"/>
  <c r="M78" i="2"/>
  <c r="N78" i="2"/>
  <c r="O78" i="2"/>
  <c r="Q78" i="2"/>
  <c r="R78" i="2"/>
  <c r="S78" i="2"/>
  <c r="F21" i="6" l="1"/>
  <c r="F18" i="6"/>
  <c r="F17" i="6"/>
  <c r="F11" i="6"/>
  <c r="F20" i="6"/>
  <c r="F19" i="6"/>
  <c r="F16" i="6"/>
  <c r="F15" i="6"/>
  <c r="F22" i="6"/>
  <c r="F13" i="6"/>
  <c r="F12" i="6"/>
  <c r="C39" i="3"/>
  <c r="C40" i="3" s="1"/>
  <c r="C29" i="3"/>
  <c r="C51" i="5" s="1"/>
  <c r="D49" i="5" l="1"/>
  <c r="F44" i="5"/>
  <c r="E35" i="2"/>
  <c r="O31" i="2"/>
  <c r="U77" i="2"/>
  <c r="V77" i="2"/>
  <c r="W77" i="2"/>
  <c r="U78" i="2"/>
  <c r="V78" i="2"/>
  <c r="W78" i="2"/>
  <c r="S42" i="2"/>
  <c r="R42" i="2"/>
  <c r="Q42" i="2"/>
  <c r="R29" i="2"/>
  <c r="Q29" i="2"/>
  <c r="S41" i="2"/>
  <c r="W41" i="2" s="1"/>
  <c r="Q41" i="2"/>
  <c r="U41" i="2" s="1"/>
  <c r="R28" i="2"/>
  <c r="V28" i="2" s="1"/>
  <c r="Q28" i="2"/>
  <c r="U28" i="2" s="1"/>
  <c r="S40" i="2"/>
  <c r="W40" i="2" s="1"/>
  <c r="R40" i="2"/>
  <c r="V40" i="2" s="1"/>
  <c r="Q40" i="2"/>
  <c r="U40" i="2" s="1"/>
  <c r="S27" i="2"/>
  <c r="W27" i="2" s="1"/>
  <c r="R27" i="2"/>
  <c r="V27" i="2" s="1"/>
  <c r="Q27" i="2"/>
  <c r="U27" i="2" s="1"/>
  <c r="S39" i="2"/>
  <c r="W39" i="2" s="1"/>
  <c r="R39" i="2"/>
  <c r="V39" i="2" s="1"/>
  <c r="Q39" i="2"/>
  <c r="U39" i="2" s="1"/>
  <c r="S26" i="2"/>
  <c r="W26" i="2" s="1"/>
  <c r="R26" i="2"/>
  <c r="V26" i="2" s="1"/>
  <c r="Q26" i="2"/>
  <c r="U26" i="2" s="1"/>
  <c r="S38" i="2"/>
  <c r="W38" i="2" s="1"/>
  <c r="R25" i="2"/>
  <c r="V25" i="2" s="1"/>
  <c r="Q25" i="2"/>
  <c r="U25" i="2" s="1"/>
  <c r="S37" i="2"/>
  <c r="W37" i="2" s="1"/>
  <c r="R37" i="2"/>
  <c r="V37" i="2" s="1"/>
  <c r="Q37" i="2"/>
  <c r="U37" i="2" s="1"/>
  <c r="S24" i="2"/>
  <c r="W24" i="2" s="1"/>
  <c r="R24" i="2"/>
  <c r="V24" i="2" s="1"/>
  <c r="Q24" i="2"/>
  <c r="U24" i="2" s="1"/>
  <c r="S36" i="2"/>
  <c r="W36" i="2" s="1"/>
  <c r="R36" i="2"/>
  <c r="V36" i="2" s="1"/>
  <c r="Q36" i="2"/>
  <c r="U36" i="2" s="1"/>
  <c r="S23" i="2"/>
  <c r="W23" i="2" s="1"/>
  <c r="R23" i="2"/>
  <c r="V23" i="2" s="1"/>
  <c r="U53" i="2"/>
  <c r="R32" i="2" l="1"/>
  <c r="V29" i="2"/>
  <c r="V32" i="2" s="1"/>
  <c r="U42" i="2"/>
  <c r="U35" i="2" s="1"/>
  <c r="Q35" i="2"/>
  <c r="V42" i="2"/>
  <c r="V35" i="2" s="1"/>
  <c r="R35" i="2"/>
  <c r="W42" i="2"/>
  <c r="S35" i="2"/>
  <c r="U29" i="2"/>
  <c r="Q32" i="2"/>
  <c r="W35" i="2"/>
  <c r="S28" i="2"/>
  <c r="W28" i="2" s="1"/>
  <c r="S25" i="2"/>
  <c r="W25" i="2" s="1"/>
  <c r="R38" i="2"/>
  <c r="V38" i="2" s="1"/>
  <c r="S29" i="2"/>
  <c r="Q38" i="2"/>
  <c r="U38" i="2" s="1"/>
  <c r="R41" i="2"/>
  <c r="V41" i="2" s="1"/>
  <c r="N41" i="2"/>
  <c r="O44" i="2"/>
  <c r="N27" i="2"/>
  <c r="N38" i="2"/>
  <c r="R44" i="2"/>
  <c r="V44" i="2" s="1"/>
  <c r="N24" i="2"/>
  <c r="S44" i="2"/>
  <c r="W44" i="2" s="1"/>
  <c r="N31" i="2"/>
  <c r="O41" i="2"/>
  <c r="O27" i="2"/>
  <c r="O38" i="2"/>
  <c r="O24" i="2"/>
  <c r="S31" i="2"/>
  <c r="W31" i="2" s="1"/>
  <c r="O42" i="2"/>
  <c r="O28" i="2"/>
  <c r="O39" i="2"/>
  <c r="O25" i="2"/>
  <c r="O36" i="2"/>
  <c r="R31" i="2"/>
  <c r="V31" i="2" s="1"/>
  <c r="N42" i="2"/>
  <c r="N28" i="2"/>
  <c r="N39" i="2"/>
  <c r="N25" i="2"/>
  <c r="N36" i="2"/>
  <c r="N44" i="2"/>
  <c r="O29" i="2"/>
  <c r="O30" i="2" s="1"/>
  <c r="O40" i="2"/>
  <c r="O26" i="2"/>
  <c r="O37" i="2"/>
  <c r="O23" i="2"/>
  <c r="N29" i="2"/>
  <c r="N40" i="2"/>
  <c r="N26" i="2"/>
  <c r="N37" i="2"/>
  <c r="N23" i="2"/>
  <c r="M29" i="2"/>
  <c r="M31" i="2"/>
  <c r="Q31" i="2"/>
  <c r="U31" i="2" s="1"/>
  <c r="M38" i="2"/>
  <c r="M39" i="2"/>
  <c r="M42" i="2"/>
  <c r="M44" i="2"/>
  <c r="Q44" i="2"/>
  <c r="U44" i="2" s="1"/>
  <c r="M40" i="2"/>
  <c r="M41" i="2"/>
  <c r="M25" i="2"/>
  <c r="M26" i="2"/>
  <c r="M27" i="2"/>
  <c r="M28" i="2"/>
  <c r="M23" i="2"/>
  <c r="M24" i="2"/>
  <c r="Q23" i="2"/>
  <c r="M36" i="2"/>
  <c r="M37" i="2"/>
  <c r="U34" i="2" l="1"/>
  <c r="N30" i="2"/>
  <c r="M35" i="2"/>
  <c r="S32" i="2"/>
  <c r="W29" i="2"/>
  <c r="W32" i="2" s="1"/>
  <c r="S30" i="2"/>
  <c r="W30" i="2" s="1"/>
  <c r="U32" i="2"/>
  <c r="U33" i="2" s="1"/>
  <c r="Q33" i="2" s="1"/>
  <c r="U23" i="2"/>
  <c r="N32" i="2"/>
  <c r="M32" i="2"/>
  <c r="M33" i="2" s="1"/>
  <c r="O32" i="2"/>
  <c r="N35" i="2"/>
  <c r="O35" i="2"/>
  <c r="S43" i="2"/>
  <c r="W43" i="2" s="1"/>
  <c r="O43" i="2"/>
  <c r="N43" i="2"/>
  <c r="R43" i="2"/>
  <c r="V43" i="2" s="1"/>
  <c r="M30" i="2"/>
  <c r="R30" i="2"/>
  <c r="V30" i="2" s="1"/>
  <c r="Q30" i="2"/>
  <c r="U30" i="2" s="1"/>
  <c r="Q43" i="2"/>
  <c r="U43" i="2" s="1"/>
  <c r="M43" i="2"/>
  <c r="M34" i="2" l="1"/>
  <c r="C4" i="2"/>
  <c r="C5" i="2" s="1"/>
  <c r="C6" i="2" s="1"/>
  <c r="C7" i="2" s="1"/>
  <c r="H29" i="5" s="1"/>
  <c r="W70" i="2"/>
  <c r="V70" i="2"/>
  <c r="U70" i="2"/>
  <c r="W69" i="2"/>
  <c r="V69" i="2"/>
  <c r="U69" i="2"/>
  <c r="W64" i="2"/>
  <c r="V64" i="2"/>
  <c r="U64" i="2"/>
  <c r="W63" i="2"/>
  <c r="V63" i="2"/>
  <c r="U63" i="2"/>
  <c r="W74" i="2"/>
  <c r="V74" i="2"/>
  <c r="U74" i="2"/>
  <c r="W73" i="2"/>
  <c r="V73" i="2"/>
  <c r="U73" i="2"/>
  <c r="W76" i="2"/>
  <c r="V76" i="2"/>
  <c r="U76" i="2"/>
  <c r="W75" i="2"/>
  <c r="V75" i="2"/>
  <c r="U75" i="2"/>
  <c r="W72" i="2"/>
  <c r="V72" i="2"/>
  <c r="U72" i="2"/>
  <c r="W71" i="2"/>
  <c r="V71" i="2"/>
  <c r="U71" i="2"/>
  <c r="W68" i="2"/>
  <c r="V68" i="2"/>
  <c r="U68" i="2"/>
  <c r="W67" i="2"/>
  <c r="V67" i="2"/>
  <c r="U67" i="2"/>
  <c r="W66" i="2"/>
  <c r="V66" i="2"/>
  <c r="U66" i="2"/>
  <c r="W65" i="2"/>
  <c r="V65" i="2"/>
  <c r="U65" i="2"/>
  <c r="W62" i="2"/>
  <c r="V62" i="2"/>
  <c r="U62" i="2"/>
  <c r="W61" i="2"/>
  <c r="V61" i="2"/>
  <c r="U61" i="2"/>
  <c r="W60" i="2"/>
  <c r="V60" i="2"/>
  <c r="U60" i="2"/>
  <c r="W59" i="2"/>
  <c r="V59" i="2"/>
  <c r="U59" i="2"/>
  <c r="W58" i="2"/>
  <c r="V58" i="2"/>
  <c r="U58" i="2"/>
  <c r="W57" i="2"/>
  <c r="V57" i="2"/>
  <c r="U57" i="2"/>
  <c r="W56" i="2"/>
  <c r="V56" i="2"/>
  <c r="U56" i="2"/>
  <c r="W55" i="2"/>
  <c r="V55" i="2"/>
  <c r="U55" i="2"/>
  <c r="W54" i="2"/>
  <c r="V54" i="2"/>
  <c r="U54" i="2"/>
  <c r="W53" i="2"/>
  <c r="V53" i="2"/>
  <c r="C8" i="2" l="1"/>
  <c r="F29" i="5" s="1"/>
  <c r="E23" i="6" l="1"/>
  <c r="E20" i="6" s="1"/>
  <c r="H20" i="6" s="1"/>
  <c r="D23" i="6"/>
  <c r="E22" i="6"/>
  <c r="H22" i="6" s="1"/>
  <c r="E13" i="6"/>
  <c r="H13" i="6" s="1"/>
  <c r="E18" i="6"/>
  <c r="H18" i="6" s="1"/>
  <c r="E16" i="6"/>
  <c r="H16" i="6" s="1"/>
  <c r="E11" i="6"/>
  <c r="H11" i="6" s="1"/>
  <c r="E19" i="6"/>
  <c r="H19" i="6" s="1"/>
  <c r="E17" i="6"/>
  <c r="H17" i="6" s="1"/>
  <c r="E15" i="6"/>
  <c r="H15" i="6" s="1"/>
  <c r="E14" i="6"/>
  <c r="H14" i="6" s="1"/>
  <c r="E21" i="6"/>
  <c r="H21" i="6" s="1"/>
  <c r="E12" i="6"/>
  <c r="H12" i="6" s="1"/>
  <c r="D22" i="6" l="1"/>
  <c r="D13" i="6"/>
  <c r="D12" i="6"/>
  <c r="D21" i="6"/>
  <c r="D20" i="6"/>
  <c r="D11" i="6"/>
  <c r="D17" i="6"/>
  <c r="D14" i="6"/>
  <c r="D16" i="6"/>
  <c r="D15" i="6"/>
  <c r="D18" i="6"/>
  <c r="D19" i="6"/>
  <c r="H2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Doug King</author>
  </authors>
  <commentList>
    <comment ref="B49" authorId="0" shapeId="0" xr:uid="{2795FD15-8BF4-4B1D-B318-6A01A91AFAF8}">
      <text>
        <r>
          <rPr>
            <b/>
            <sz val="9"/>
            <color indexed="81"/>
            <rFont val="Tahoma"/>
            <family val="2"/>
          </rPr>
          <t xml:space="preserve">"turnover" refers to the number of times per day the pump will circulate the full amount of water in the pool. </t>
        </r>
        <r>
          <rPr>
            <sz val="9"/>
            <color indexed="81"/>
            <rFont val="Tahoma"/>
            <family val="2"/>
          </rPr>
          <t xml:space="preserve">
</t>
        </r>
      </text>
    </comment>
  </commentList>
</comments>
</file>

<file path=xl/sharedStrings.xml><?xml version="1.0" encoding="utf-8"?>
<sst xmlns="http://schemas.openxmlformats.org/spreadsheetml/2006/main" count="388" uniqueCount="233">
  <si>
    <t>LOCATION</t>
  </si>
  <si>
    <t>SEASON</t>
  </si>
  <si>
    <t>TEMPERATURE</t>
  </si>
  <si>
    <t>78°</t>
  </si>
  <si>
    <t>80°</t>
  </si>
  <si>
    <t>82°</t>
  </si>
  <si>
    <t>MIAMI</t>
  </si>
  <si>
    <t>1/1–12/31</t>
  </si>
  <si>
    <t>W/COVER</t>
  </si>
  <si>
    <t>PHOENIX</t>
  </si>
  <si>
    <t>3/1–10/31</t>
  </si>
  <si>
    <t>W/ COVER</t>
  </si>
  <si>
    <t>DALLAS</t>
  </si>
  <si>
    <t>4/1–10/31</t>
  </si>
  <si>
    <t>ATLANTA</t>
  </si>
  <si>
    <t>LOS ANGELES</t>
  </si>
  <si>
    <t>5/1–10/31</t>
  </si>
  <si>
    <t>KANSAS CITY</t>
  </si>
  <si>
    <t>NEW YORK</t>
  </si>
  <si>
    <t>5/1–9/30</t>
  </si>
  <si>
    <t>CHICAGO</t>
  </si>
  <si>
    <t>DENVER</t>
  </si>
  <si>
    <t>5/1–8/31</t>
  </si>
  <si>
    <t>BOSTON</t>
  </si>
  <si>
    <t>MINNEAPOLIS</t>
  </si>
  <si>
    <t>6/1–9/30</t>
  </si>
  <si>
    <t>SAN FRANCISCO</t>
  </si>
  <si>
    <t>6/1–8/31</t>
  </si>
  <si>
    <t>SEATTLE</t>
  </si>
  <si>
    <t>CLIMATE ZONE</t>
  </si>
  <si>
    <t>1A</t>
  </si>
  <si>
    <t>1A W/COVER</t>
  </si>
  <si>
    <t>2B</t>
  </si>
  <si>
    <t>2B W/COVER</t>
  </si>
  <si>
    <t>3A</t>
  </si>
  <si>
    <t>3A W/COVER</t>
  </si>
  <si>
    <t>3B</t>
  </si>
  <si>
    <t>3B W/COVER</t>
  </si>
  <si>
    <t>4A</t>
  </si>
  <si>
    <t>4A W/COVER</t>
  </si>
  <si>
    <t>GAS OR PROPANE</t>
  </si>
  <si>
    <t>HEAT PUMP</t>
  </si>
  <si>
    <t>5A</t>
  </si>
  <si>
    <t>5A W/COVER</t>
  </si>
  <si>
    <t>5B</t>
  </si>
  <si>
    <t>5B W/COVER</t>
  </si>
  <si>
    <t>7 W/COVER</t>
  </si>
  <si>
    <t>3C</t>
  </si>
  <si>
    <t>3C W/COVER</t>
  </si>
  <si>
    <t>4C</t>
  </si>
  <si>
    <t>4C W/COVER</t>
  </si>
  <si>
    <t>https://www.energy.gov/energysaver/heat-pump-swimming-pool-heaters</t>
  </si>
  <si>
    <t>https://www.energy.gov/energysaver/gas-swimming-pool-heaters</t>
  </si>
  <si>
    <t>*Figures based on a 1,000 square-foot, outdoor pool heated with an 80% efficient natural gas heater at $1.09 per therm and uncovered for 8 hours per day.</t>
  </si>
  <si>
    <t>*Figures based on a 1,000 square foot, outdoor pool heated with an air to water heat pump with an average COP of 5.0 at $0.1301/kwh.</t>
  </si>
  <si>
    <t>ENERGY COSTS</t>
  </si>
  <si>
    <t>ENERGY USE</t>
  </si>
  <si>
    <t>POOL HEATING ENERGY USE</t>
  </si>
  <si>
    <t>POOL PUMP ENERGY USE</t>
  </si>
  <si>
    <t>Months</t>
  </si>
  <si>
    <t>(MBTU/sqft/month) @ 100%</t>
  </si>
  <si>
    <t>(kWh/sqft/month) @ 1 COP</t>
  </si>
  <si>
    <t>(MBTU/sqft/month) @ 1 COP</t>
  </si>
  <si>
    <t>COVER?</t>
  </si>
  <si>
    <t>no cover</t>
  </si>
  <si>
    <t>cover</t>
  </si>
  <si>
    <t>Typical Months</t>
  </si>
  <si>
    <t>Notes</t>
  </si>
  <si>
    <t>avg Dallas &amp; Atlanta</t>
  </si>
  <si>
    <t>use Los Angeles data - San Francisco is not typical</t>
  </si>
  <si>
    <t>avg Kansas City, New York, Seattle</t>
  </si>
  <si>
    <t>avg Chicago, Denver, Boston</t>
  </si>
  <si>
    <t>avg CZ 5 and CZ 7 (no data)</t>
  </si>
  <si>
    <t>RAW DATA from DOE</t>
  </si>
  <si>
    <t>DATA USED IN CALCULATIONS (based on DOE)</t>
  </si>
  <si>
    <t>not sure (use default)</t>
  </si>
  <si>
    <t>LOOKUP W/ COVER --&gt;</t>
  </si>
  <si>
    <t>LOOKUP W/ NO COVER --&gt;</t>
  </si>
  <si>
    <t>&lt;== LOOKUP DEFAULT # OF MONTHS</t>
  </si>
  <si>
    <t>MBTU/year load</t>
  </si>
  <si>
    <t>MBTU/year energy use (w/ eff)</t>
  </si>
  <si>
    <t>ENERGY STAR?</t>
  </si>
  <si>
    <t>PROJECT DETAILS</t>
  </si>
  <si>
    <t>kWh/year</t>
  </si>
  <si>
    <t>Nameplate Horsepower</t>
  </si>
  <si>
    <t>Curve C - Energy Factor (Gal/Wh)</t>
  </si>
  <si>
    <t>Curve C - Flow (GPM)</t>
  </si>
  <si>
    <t>Single-speed or variable speed?</t>
  </si>
  <si>
    <t>Conventional (single speed) pump</t>
  </si>
  <si>
    <t>Variable-speed pump</t>
  </si>
  <si>
    <t>Nameplate Horsepower at High Speed</t>
  </si>
  <si>
    <t>1.65 hhp (3 HP)</t>
  </si>
  <si>
    <t>1.25 hhp (2.5 HP)</t>
  </si>
  <si>
    <t>1.18 hhp (2 HP)</t>
  </si>
  <si>
    <t>0.95 hhp (1.65 HP)</t>
  </si>
  <si>
    <t>0.72 hhp (1-1.4 HP)</t>
  </si>
  <si>
    <t>Curve C - Weighted Energy Factor (Gal/Wh)</t>
  </si>
  <si>
    <t>Curve C - High Flow (GPM)</t>
  </si>
  <si>
    <t>Curve C - Low Energy Factor (Gal/Wh)</t>
  </si>
  <si>
    <t>Curve C - Low Flow (GPM)</t>
  </si>
  <si>
    <t>Source: ENERGY STAR Pool Pump Calculator (https://www.energystar.gov/productfinder/downloads/Pool_Pump_Calculator_2020.05.05_FINAL.xlsx)</t>
  </si>
  <si>
    <t>pump type:</t>
  </si>
  <si>
    <t>single-speed</t>
  </si>
  <si>
    <t>No</t>
  </si>
  <si>
    <t xml:space="preserve"> (gallons/Wh)</t>
  </si>
  <si>
    <t>variable-speed</t>
  </si>
  <si>
    <t>pump type (dropdown menu)</t>
  </si>
  <si>
    <t>Nameplate HP</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</si>
  <si>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</si>
  <si>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</si>
  <si>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</si>
  <si>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</si>
  <si>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</si>
  <si>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</si>
  <si>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</si>
  <si>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</si>
  <si>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</si>
  <si>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</si>
  <si>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</si>
  <si>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</si>
  <si>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</si>
  <si>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</si>
  <si>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</si>
  <si>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</si>
  <si>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</si>
  <si>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</si>
  <si>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</si>
  <si>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</si>
  <si>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</si>
  <si>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</si>
  <si>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</si>
  <si>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</si>
  <si>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</si>
  <si>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</si>
  <si>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</si>
  <si>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</si>
  <si>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</si>
  <si>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</si>
  <si>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</si>
  <si>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</si>
  <si>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</si>
  <si>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</si>
  <si>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</si>
  <si>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</si>
  <si>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</si>
  <si>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</si>
  <si>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</si>
  <si>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</si>
  <si>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</si>
  <si>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</si>
  <si>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</si>
  <si>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</si>
  <si>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</si>
  <si>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</si>
  <si>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</si>
  <si>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</si>
  <si>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</si>
  <si>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</si>
  <si>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</si>
  <si>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Warm</t>
  </si>
  <si>
    <t>Cool</t>
  </si>
  <si>
    <t>State</t>
  </si>
  <si>
    <t>Climate</t>
  </si>
  <si>
    <t>Use (months/yr)</t>
  </si>
  <si>
    <t>Turnovers 
per day</t>
  </si>
  <si>
    <t>user input:</t>
  </si>
  <si>
    <t>Calculated Pool Energy Use (back-end)</t>
  </si>
  <si>
    <t>MBTU/sqft/month:</t>
  </si>
  <si>
    <t>MBTU/month:</t>
  </si>
  <si>
    <t>for</t>
  </si>
  <si>
    <t>default</t>
  </si>
  <si>
    <t>Estimated pool use (months/year)</t>
  </si>
  <si>
    <t>estimated use (mo/yr):</t>
  </si>
  <si>
    <t>Pump energy factor (kgallons/kWh)</t>
  </si>
  <si>
    <t>pump energy factor:</t>
  </si>
  <si>
    <t>Pump Turnover</t>
  </si>
  <si>
    <t xml:space="preserve">default </t>
  </si>
  <si>
    <t>estimated turnover:</t>
  </si>
  <si>
    <t>Pool heater efficiency:</t>
  </si>
  <si>
    <t xml:space="preserve">Project location: </t>
  </si>
  <si>
    <t>Project climate zone:</t>
  </si>
  <si>
    <t>Expected setpoint:</t>
  </si>
  <si>
    <t>Is a pool cover installed?</t>
  </si>
  <si>
    <t>Type of pool heater:</t>
  </si>
  <si>
    <t>Pool volume (gallons):</t>
  </si>
  <si>
    <t>Pool surface area (sqft):</t>
  </si>
  <si>
    <t xml:space="preserve">Expected pool use (months/yr): </t>
  </si>
  <si>
    <t>kWh/yr energy use</t>
  </si>
  <si>
    <t>Estimated Pool Heating Energy Use:</t>
  </si>
  <si>
    <t>Estimated Pool Pump Energy Use:</t>
  </si>
  <si>
    <t>Turnovers per day?</t>
  </si>
  <si>
    <t xml:space="preserve"> https://www.energystar.gov/productfinder/product/certified-pool-pumps/results</t>
  </si>
  <si>
    <t>Pump nameplate HP</t>
  </si>
  <si>
    <t>Is the pump ENERGY STAR labeled?</t>
  </si>
  <si>
    <t>The energy factor is calculated automatically based on the characteristics of the pump, but it can be over-written by the user.</t>
  </si>
  <si>
    <t xml:space="preserve"> If an ENERGY STAR pump is installed, the product-specific energy factor can be found here:</t>
  </si>
  <si>
    <t>Pool Energy Use Calculator for LEED for Homes Single-family Projects</t>
  </si>
  <si>
    <t>This calculator is only designed to assist LEED for Homes projects with estimating pool heating and pump energy use for the purposes of EA Annual Energy Use, and is not</t>
  </si>
  <si>
    <t>intended to be used as a prediction for project teams or manufacturers.</t>
  </si>
  <si>
    <t>Published by GBCI, December, 2023</t>
  </si>
  <si>
    <t>*Note that this calculator is currently in draft format. Projects may email homestechnical@gbci.org to request project-specific approval to use this calculator</t>
  </si>
  <si>
    <t xml:space="preserve"> in advance of formal approval of the calculator. When this calculator is finalized, projects are expected to use the final published version.</t>
  </si>
  <si>
    <t>Heat pump</t>
  </si>
  <si>
    <t>no</t>
  </si>
  <si>
    <t>Common Area Energy Use</t>
  </si>
  <si>
    <t>Pool Energy Use</t>
  </si>
  <si>
    <t>Month</t>
  </si>
  <si>
    <t>Total</t>
  </si>
  <si>
    <t>Site Lighting Energy Use</t>
  </si>
  <si>
    <t>This field pulls from the HourlyResults tab and represents the total energy use for nonresidential spaces per the energy model. Please refer to House Meter SOP to develop correct model</t>
  </si>
  <si>
    <t>This field represents all the lighting on site that the house will be responsible for. Count up all the lights in nonresidential zones and parking areas and sum up the corresponding wattage. Input that value into Total Site Lighting Energy Use. Colder months have longer nights and will require more light.</t>
  </si>
  <si>
    <t>-</t>
  </si>
  <si>
    <t>EV Charging Energy Use</t>
  </si>
  <si>
    <t>Number of EV parking spaces</t>
  </si>
  <si>
    <t>Ratio of EV charges daily to EV parking spaces</t>
  </si>
  <si>
    <t>Yearly kWh from EV charging</t>
  </si>
  <si>
    <t>Energy Consumption per EV Monthly*</t>
  </si>
  <si>
    <t>*https://www.edmunds.com/electric-car/articles/how-much-electricity-does-an-ev-use.html</t>
  </si>
  <si>
    <t>EV Total Energy Use</t>
  </si>
  <si>
    <t>This field pulls from the Pool Energy Calculator and then splits the energy usage per month based on the common area usage per month. We are assuming that high nonresidential energy use corresponds to a colder month and therefore the pool will require more heating.</t>
  </si>
  <si>
    <t>This field pulls from the EV Calculator and then splits the energy usage per month based on the common area usage per month. We are assuming equal charging use per month</t>
  </si>
  <si>
    <t>Site Lighting Energy Usage (kW)</t>
  </si>
  <si>
    <t>Pool Energy Usage (kWh)</t>
  </si>
  <si>
    <t>Common Area Energy Usage (kWh)</t>
  </si>
  <si>
    <t>EV Charging Energy Usage (kWh)</t>
  </si>
  <si>
    <t>*DO NOT DELETE any columns. HIDE any columns unneed for project.</t>
  </si>
  <si>
    <t>PROJECT NAME - Building Number</t>
  </si>
  <si>
    <t>Total kWh</t>
  </si>
  <si>
    <t>Average pool depth (ft):</t>
  </si>
  <si>
    <t>Pool Gas Usage (MBTU)</t>
  </si>
  <si>
    <t>** Complete all relevant calculators</t>
  </si>
  <si>
    <t>*See TMP Building 1 for Example (T:\Projects\60-22111-AO-IAC- TMP Marketplace Bldg1\10_Energy Model\Energy Use Report)</t>
  </si>
  <si>
    <t>**Paste ap-HourlyResults for all Nonresidential Spaces here. It does not matter whether all 'ResOtherZn's were converted to 'Spc' or if all 'ResZn's were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</si>
</sst>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3" formatCode="_(* #,##0.00_);_(* \(#,##0.00\);_(* &quot;-&quot;??_);_(@_)"/>
    <numFmt numFmtId="164" formatCode="_(* #,##0_);_(* \(#,##0\);_(* &quot;-&quot;??_);_(@_)"/>
    <numFmt numFmtId="165" formatCode="0.0%"/>
    <numFmt numFmtId="166" formatCode="0.0"/>
    <numFmt numFmtId="167" formatCode="0.00000"/>
    <numFmt numFmtId="168" formatCode="0.0000"/>
    <numFmt numFmtId="169" formatCode="_(* #,##0.0_);_(* \(#,##0.0\);_(* &quot;-&quot;?_);_(@_)"/>
    <numFmt numFmtId="170" formatCode="#,##0.00000_);[Red]\(#,##0.00000\)"/>
    <numFmt numFmtId="171" formatCode="#,##0.0"/>
    <numFmt numFmtId="172" formatCode="#,##0.00000"/>
    <numFmt numFmtId="173" formatCode="_(* #,##0.0_);_(* \(#,##0.0\);_(* &quot;-&quot;??_);_(@_)"/>
  </numFmts>
  <fonts count="29" x14ac:knownFonts="1">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sz val="11"/>
      <color rgb="FF292929"/>
      <name val="Calibri"/>
      <family val="2"/>
      <scheme val="minor"/>
    </font>
    <font>
      <i/>
      <sz val="11"/>
      <color rgb="FF292929"/>
      <name val="Calibri"/>
      <family val="2"/>
      <scheme val="minor"/>
    </font>
    <font>
      <i/>
      <sz val="11"/>
      <color theme="1"/>
      <name val="Calibri"/>
      <family val="2"/>
      <scheme val="minor"/>
    </font>
    <font>
      <i/>
      <sz val="8"/>
      <color rgb="FF292929"/>
      <name val="Calibri"/>
      <family val="2"/>
      <scheme val="minor"/>
    </font>
    <font>
      <i/>
      <sz val="8"/>
      <color theme="1"/>
      <name val="Calibri"/>
      <family val="2"/>
      <scheme val="minor"/>
    </font>
    <font>
      <b/>
      <sz val="11"/>
      <color rgb="FF292929"/>
      <name val="Calibri"/>
      <family val="2"/>
      <scheme val="minor"/>
    </font>
    <font>
      <i/>
      <sz val="9"/>
      <color rgb="FF292929"/>
      <name val="Calibri"/>
      <family val="2"/>
      <scheme val="minor"/>
    </font>
    <font>
      <b/>
      <sz val="14"/>
      <color theme="1"/>
      <name val="Calibri"/>
      <family val="2"/>
      <scheme val="minor"/>
    </font>
    <font>
      <sz val="11"/>
      <name val="Calibri"/>
      <family val="2"/>
      <scheme val="minor"/>
    </font>
    <font>
      <sz val="10"/>
      <name val="Arial"/>
      <family val="2"/>
    </font>
    <font>
      <b/>
      <sz val="9"/>
      <name val="Arial"/>
      <family val="2"/>
    </font>
    <font>
      <sz val="9"/>
      <name val="Arial"/>
      <family val="2"/>
    </font>
    <font>
      <i/>
      <sz val="8"/>
      <name val="Arial"/>
      <family val="2"/>
    </font>
    <font>
      <sz val="12"/>
      <name val="Arial"/>
      <family val="2"/>
    </font>
    <font>
      <i/>
      <sz val="9"/>
      <name val="Arial"/>
      <family val="2"/>
    </font>
    <font>
      <i/>
      <sz val="11"/>
      <name val="Calibri"/>
      <family val="2"/>
      <scheme val="minor"/>
    </font>
    <font>
      <i/>
      <sz val="10"/>
      <name val="Calibri"/>
      <family val="2"/>
      <scheme val="minor"/>
    </font>
    <font>
      <i/>
      <sz val="10"/>
      <color theme="1"/>
      <name val="Calibri"/>
      <family val="2"/>
      <scheme val="minor"/>
    </font>
    <font>
      <sz val="9"/>
      <color indexed="81"/>
      <name val="Tahoma"/>
      <family val="2"/>
    </font>
    <font>
      <b/>
      <sz val="9"/>
      <color indexed="81"/>
      <name val="Tahoma"/>
      <family val="2"/>
    </font>
    <font>
      <b/>
      <sz val="16"/>
      <name val="Calibri"/>
      <family val="2"/>
      <scheme val="minor"/>
    </font>
    <font>
      <i/>
      <sz val="11"/>
      <color rgb="FFFF0000"/>
      <name val="Calibri"/>
      <family val="2"/>
      <scheme val="minor"/>
    </font>
    <font>
      <b/>
      <sz val="11"/>
      <color rgb="FF000000"/>
      <name val="Aptos Narrow"/>
      <family val="2"/>
    </font>
    <font>
      <sz val="11"/>
      <color rgb="FF000000"/>
      <name val="Aptos Narrow"/>
      <family val="2"/>
    </font>
    <font>
      <b/>
      <sz val="11"/>
      <color rgb="FFFF0000"/>
      <name val="Calibri"/>
      <family val="2"/>
      <scheme val="minor"/>
    </font>
  </fonts>
  <fills count="13">
    <fill>
      <patternFill patternType="none"/>
    </fill>
    <fill>
      <patternFill patternType="gray125"/>
    </fill>
    <fill>
      <patternFill patternType="solid">
        <fgColor rgb="FFFFFFFF"/>
        <bgColor indexed="64"/>
      </patternFill>
    </fill>
    <fill>
      <patternFill patternType="solid">
        <fgColor rgb="FFF5F5F5"/>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6" tint="0.59999389629810485"/>
        <bgColor indexed="64"/>
      </patternFill>
    </fill>
    <fill>
      <patternFill patternType="solid">
        <fgColor rgb="FFDAF2D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top style="medium">
        <color indexed="64"/>
      </top>
      <bottom style="medium">
        <color indexed="64"/>
      </bottom>
      <diagonal/>
    </border>
    <border>
      <left style="thin">
        <color indexed="64"/>
      </left>
      <right style="medium">
        <color indexed="64"/>
      </right>
      <top/>
      <bottom style="double">
        <color indexed="64"/>
      </bottom>
      <diagonal/>
    </border>
  </borders>
  <cellStyleXfs count="6">
    <xf numFmtId="0" fontId="0" fillId="0" borderId="0"/>
    <xf numFmtId="43" fontId="1" fillId="0" borderId="0" applyFont="0" applyFill="0" applyBorder="0" applyAlignment="0" applyProtection="0"/>
    <xf numFmtId="0" fontId="2" fillId="0" borderId="0" applyNumberFormat="0" applyFill="0" applyBorder="0" applyAlignment="0" applyProtection="0"/>
    <xf numFmtId="9" fontId="1" fillId="0" borderId="0" applyFont="0" applyFill="0" applyBorder="0" applyAlignment="0" applyProtection="0"/>
    <xf numFmtId="0" fontId="13" fillId="0" borderId="0"/>
    <xf numFmtId="0" fontId="13" fillId="0" borderId="0"/>
  </cellStyleXfs>
  <cellXfs count="233">
    <xf numFmtId="0" fontId="0" fillId="0" borderId="0" xfId="0"/>
    <xf numFmtId="9" fontId="0" fillId="0" borderId="0" xfId="3" applyFont="1"/>
    <xf numFmtId="165" fontId="0" fillId="0" borderId="0" xfId="3" applyNumberFormat="1" applyFont="1"/>
    <xf numFmtId="0" fontId="3" fillId="0" borderId="0" xfId="0" applyFont="1"/>
    <xf numFmtId="0" fontId="0" fillId="0" borderId="13" xfId="0" applyBorder="1"/>
    <xf numFmtId="0" fontId="2" fillId="0" borderId="0" xfId="2"/>
    <xf numFmtId="0" fontId="0" fillId="0" borderId="0" xfId="0" applyAlignment="1">
      <alignment horizontal="centerContinuous"/>
    </xf>
    <xf numFmtId="0" fontId="0" fillId="0" borderId="0" xfId="0" applyAlignment="1">
      <alignment horizontal="centerContinuous" wrapText="1"/>
    </xf>
    <xf numFmtId="0" fontId="0" fillId="5" borderId="2" xfId="0" applyFill="1" applyBorder="1"/>
    <xf numFmtId="0" fontId="0" fillId="5" borderId="3" xfId="0" applyFill="1" applyBorder="1"/>
    <xf numFmtId="0" fontId="0" fillId="5" borderId="4" xfId="0" applyFill="1" applyBorder="1"/>
    <xf numFmtId="0" fontId="0" fillId="0" borderId="5" xfId="0" applyBorder="1"/>
    <xf numFmtId="0" fontId="0" fillId="5" borderId="5" xfId="0" applyFill="1" applyBorder="1"/>
    <xf numFmtId="0" fontId="0" fillId="5" borderId="0" xfId="0" applyFill="1"/>
    <xf numFmtId="0" fontId="0" fillId="5" borderId="6" xfId="0" applyFill="1" applyBorder="1"/>
    <xf numFmtId="0" fontId="0" fillId="5" borderId="5" xfId="0" applyFill="1" applyBorder="1" applyAlignment="1">
      <alignment horizontal="right"/>
    </xf>
    <xf numFmtId="0" fontId="0" fillId="5" borderId="7" xfId="0" applyFill="1" applyBorder="1"/>
    <xf numFmtId="0" fontId="0" fillId="5" borderId="8" xfId="0" applyFill="1" applyBorder="1"/>
    <xf numFmtId="0" fontId="0" fillId="5" borderId="9" xfId="0" applyFill="1" applyBorder="1"/>
    <xf numFmtId="0" fontId="0" fillId="0" borderId="17" xfId="0" applyBorder="1"/>
    <xf numFmtId="0" fontId="0" fillId="0" borderId="18" xfId="0" applyBorder="1"/>
    <xf numFmtId="0" fontId="0" fillId="0" borderId="19" xfId="0" applyBorder="1"/>
    <xf numFmtId="0" fontId="0" fillId="0" borderId="16" xfId="0" applyBorder="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13" xfId="0" applyFont="1" applyFill="1" applyBorder="1" applyAlignment="1">
      <alignment horizontal="center" vertical="center" wrapText="1"/>
    </xf>
    <xf numFmtId="0" fontId="4" fillId="3" borderId="13" xfId="0" applyFont="1" applyFill="1" applyBorder="1" applyAlignment="1">
      <alignment vertical="center" wrapText="1"/>
    </xf>
    <xf numFmtId="6" fontId="4" fillId="3" borderId="13" xfId="0" applyNumberFormat="1" applyFont="1" applyFill="1" applyBorder="1" applyAlignment="1">
      <alignment vertical="center" wrapText="1"/>
    </xf>
    <xf numFmtId="0" fontId="4" fillId="2" borderId="15" xfId="0" applyFont="1" applyFill="1" applyBorder="1" applyAlignment="1">
      <alignment vertical="center" wrapText="1"/>
    </xf>
    <xf numFmtId="6" fontId="4" fillId="2" borderId="15" xfId="0" applyNumberFormat="1" applyFont="1" applyFill="1" applyBorder="1" applyAlignment="1">
      <alignment vertical="center" wrapText="1"/>
    </xf>
    <xf numFmtId="0" fontId="5" fillId="0" borderId="0" xfId="0" applyFont="1" applyAlignment="1">
      <alignment horizontal="centerContinuous" vertical="center" wrapText="1"/>
    </xf>
    <xf numFmtId="0" fontId="6" fillId="0" borderId="0" xfId="0" applyFont="1" applyAlignment="1">
      <alignment horizontal="centerContinuous" wrapText="1"/>
    </xf>
    <xf numFmtId="0" fontId="4" fillId="5" borderId="5" xfId="0" applyFont="1" applyFill="1" applyBorder="1" applyAlignment="1">
      <alignment horizontal="right" vertical="center" wrapText="1"/>
    </xf>
    <xf numFmtId="164" fontId="0" fillId="4" borderId="1" xfId="1" applyNumberFormat="1" applyFont="1" applyFill="1" applyBorder="1" applyAlignment="1">
      <alignment vertical="center"/>
    </xf>
    <xf numFmtId="164" fontId="0" fillId="5" borderId="0" xfId="1" applyNumberFormat="1" applyFont="1" applyFill="1" applyBorder="1"/>
    <xf numFmtId="0" fontId="0" fillId="5" borderId="0" xfId="0" applyFill="1" applyAlignment="1">
      <alignment horizontal="left" vertical="center"/>
    </xf>
    <xf numFmtId="0" fontId="4" fillId="2" borderId="18"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16" xfId="0" applyFont="1" applyFill="1" applyBorder="1" applyAlignment="1">
      <alignment horizontal="center" vertical="center" wrapText="1"/>
    </xf>
    <xf numFmtId="0" fontId="4" fillId="2" borderId="20" xfId="0" applyFont="1" applyFill="1" applyBorder="1" applyAlignment="1">
      <alignment horizontal="center" vertical="center" wrapText="1"/>
    </xf>
    <xf numFmtId="40" fontId="4" fillId="3" borderId="13" xfId="0" applyNumberFormat="1" applyFont="1" applyFill="1" applyBorder="1" applyAlignment="1">
      <alignment vertical="center" wrapText="1"/>
    </xf>
    <xf numFmtId="0" fontId="4" fillId="2" borderId="15" xfId="0" applyFont="1" applyFill="1" applyBorder="1" applyAlignment="1">
      <alignment horizontal="center" vertical="center" wrapText="1"/>
    </xf>
    <xf numFmtId="40" fontId="4" fillId="3" borderId="1" xfId="0" applyNumberFormat="1" applyFont="1" applyFill="1" applyBorder="1" applyAlignment="1">
      <alignment vertical="center" wrapText="1"/>
    </xf>
    <xf numFmtId="0" fontId="7" fillId="0" borderId="0" xfId="0" applyFont="1" applyAlignment="1">
      <alignment horizontal="centerContinuous" vertical="center" wrapText="1"/>
    </xf>
    <xf numFmtId="0" fontId="8" fillId="0" borderId="0" xfId="0" applyFont="1" applyAlignment="1">
      <alignment horizontal="centerContinuous" wrapText="1"/>
    </xf>
    <xf numFmtId="43" fontId="0" fillId="4" borderId="1" xfId="1" applyFont="1" applyFill="1" applyBorder="1" applyAlignment="1">
      <alignment vertical="center"/>
    </xf>
    <xf numFmtId="169" fontId="0" fillId="4" borderId="1" xfId="1" applyNumberFormat="1" applyFont="1" applyFill="1" applyBorder="1" applyAlignment="1">
      <alignment vertical="center"/>
    </xf>
    <xf numFmtId="0" fontId="0" fillId="0" borderId="20" xfId="0" applyBorder="1"/>
    <xf numFmtId="0" fontId="0" fillId="0" borderId="23" xfId="0" applyBorder="1"/>
    <xf numFmtId="0" fontId="4" fillId="3" borderId="13" xfId="0" applyFont="1" applyFill="1" applyBorder="1" applyAlignment="1">
      <alignment horizontal="center" vertical="center" wrapText="1"/>
    </xf>
    <xf numFmtId="164" fontId="0" fillId="4" borderId="1" xfId="1" applyNumberFormat="1" applyFont="1" applyFill="1" applyBorder="1" applyAlignment="1">
      <alignment horizontal="right" vertical="center"/>
    </xf>
    <xf numFmtId="0" fontId="4" fillId="3" borderId="13" xfId="0" applyFont="1" applyFill="1" applyBorder="1" applyAlignment="1">
      <alignment horizontal="left" vertical="center" wrapText="1"/>
    </xf>
    <xf numFmtId="0" fontId="11" fillId="0" borderId="0" xfId="0" applyFont="1"/>
    <xf numFmtId="0" fontId="4" fillId="7" borderId="1" xfId="0" applyFont="1" applyFill="1" applyBorder="1" applyAlignment="1">
      <alignment vertical="center" wrapText="1"/>
    </xf>
    <xf numFmtId="0" fontId="4" fillId="7" borderId="1" xfId="0" applyFont="1" applyFill="1" applyBorder="1" applyAlignment="1">
      <alignment horizontal="center" vertical="center" wrapText="1"/>
    </xf>
    <xf numFmtId="0" fontId="10" fillId="7" borderId="1" xfId="0" applyFont="1" applyFill="1" applyBorder="1" applyAlignment="1">
      <alignment vertical="center" wrapText="1"/>
    </xf>
    <xf numFmtId="0" fontId="4"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10" fillId="3" borderId="1" xfId="0" applyFont="1" applyFill="1" applyBorder="1" applyAlignment="1">
      <alignment vertical="center" wrapText="1"/>
    </xf>
    <xf numFmtId="170" fontId="4" fillId="3" borderId="13" xfId="0" applyNumberFormat="1" applyFont="1" applyFill="1" applyBorder="1" applyAlignment="1">
      <alignment vertical="center" wrapText="1"/>
    </xf>
    <xf numFmtId="170" fontId="4" fillId="3" borderId="1" xfId="0" applyNumberFormat="1" applyFont="1" applyFill="1" applyBorder="1" applyAlignment="1">
      <alignment vertical="center" wrapText="1"/>
    </xf>
    <xf numFmtId="0" fontId="0" fillId="0" borderId="0" xfId="0" applyAlignment="1">
      <alignment horizontal="right"/>
    </xf>
    <xf numFmtId="170" fontId="4" fillId="6" borderId="13" xfId="0" applyNumberFormat="1" applyFont="1" applyFill="1" applyBorder="1" applyAlignment="1">
      <alignment vertical="center" wrapText="1"/>
    </xf>
    <xf numFmtId="170" fontId="4" fillId="6" borderId="1" xfId="0" applyNumberFormat="1" applyFont="1" applyFill="1" applyBorder="1" applyAlignment="1">
      <alignment vertical="center" wrapText="1"/>
    </xf>
    <xf numFmtId="0" fontId="0" fillId="6" borderId="0" xfId="0" applyFill="1" applyAlignment="1">
      <alignment horizontal="center"/>
    </xf>
    <xf numFmtId="167" fontId="0" fillId="6" borderId="0" xfId="0" applyNumberFormat="1" applyFill="1"/>
    <xf numFmtId="0" fontId="3" fillId="5" borderId="0" xfId="0" applyFont="1" applyFill="1"/>
    <xf numFmtId="0" fontId="12" fillId="5" borderId="5" xfId="0" applyFont="1" applyFill="1" applyBorder="1" applyAlignment="1">
      <alignment horizontal="right" vertical="center" wrapText="1"/>
    </xf>
    <xf numFmtId="0" fontId="12" fillId="5" borderId="5" xfId="0" applyFont="1" applyFill="1" applyBorder="1" applyAlignment="1">
      <alignment horizontal="right"/>
    </xf>
    <xf numFmtId="0" fontId="12" fillId="5" borderId="0" xfId="0" applyFont="1" applyFill="1"/>
    <xf numFmtId="164" fontId="3" fillId="8" borderId="24" xfId="0" applyNumberFormat="1" applyFont="1" applyFill="1" applyBorder="1"/>
    <xf numFmtId="0" fontId="0" fillId="0" borderId="7" xfId="0" applyBorder="1"/>
    <xf numFmtId="0" fontId="14" fillId="5" borderId="1" xfId="5" applyFont="1" applyFill="1" applyBorder="1" applyAlignment="1">
      <alignment horizontal="center" vertical="center"/>
    </xf>
    <xf numFmtId="171" fontId="15" fillId="5" borderId="1" xfId="5" applyNumberFormat="1" applyFont="1" applyFill="1" applyBorder="1" applyAlignment="1">
      <alignment horizontal="center" vertical="center"/>
    </xf>
    <xf numFmtId="1" fontId="15" fillId="5" borderId="1" xfId="5" applyNumberFormat="1" applyFont="1" applyFill="1" applyBorder="1" applyAlignment="1">
      <alignment horizontal="center" vertical="center"/>
    </xf>
    <xf numFmtId="0" fontId="14" fillId="9" borderId="1" xfId="5" applyFont="1" applyFill="1" applyBorder="1" applyAlignment="1">
      <alignment horizontal="center" vertical="center"/>
    </xf>
    <xf numFmtId="171" fontId="15" fillId="10" borderId="1" xfId="5" applyNumberFormat="1" applyFont="1" applyFill="1" applyBorder="1" applyAlignment="1">
      <alignment horizontal="center" vertical="center"/>
    </xf>
    <xf numFmtId="171" fontId="15" fillId="6" borderId="1" xfId="5" applyNumberFormat="1" applyFont="1" applyFill="1" applyBorder="1" applyAlignment="1">
      <alignment horizontal="center" vertical="center"/>
    </xf>
    <xf numFmtId="0" fontId="6" fillId="0" borderId="0" xfId="0" applyFont="1"/>
    <xf numFmtId="0" fontId="18" fillId="5" borderId="21" xfId="5" applyFont="1" applyFill="1" applyBorder="1" applyAlignment="1">
      <alignment horizontal="center" vertical="center"/>
    </xf>
    <xf numFmtId="0" fontId="18" fillId="5" borderId="23" xfId="5" applyFont="1" applyFill="1" applyBorder="1" applyAlignment="1">
      <alignment horizontal="center" vertical="center"/>
    </xf>
    <xf numFmtId="169" fontId="0" fillId="4" borderId="1" xfId="1" applyNumberFormat="1" applyFont="1" applyFill="1" applyBorder="1" applyAlignment="1">
      <alignment horizontal="right" vertical="center"/>
    </xf>
    <xf numFmtId="0" fontId="0" fillId="5" borderId="17" xfId="0" applyFill="1" applyBorder="1"/>
    <xf numFmtId="0" fontId="0" fillId="5" borderId="19" xfId="0" applyFill="1" applyBorder="1"/>
    <xf numFmtId="0" fontId="0" fillId="5" borderId="16" xfId="0" applyFill="1" applyBorder="1"/>
    <xf numFmtId="0" fontId="0" fillId="5" borderId="20" xfId="0" applyFill="1" applyBorder="1"/>
    <xf numFmtId="0" fontId="0" fillId="5" borderId="22" xfId="0" applyFill="1" applyBorder="1"/>
    <xf numFmtId="0" fontId="0" fillId="5" borderId="23" xfId="0" applyFill="1" applyBorder="1"/>
    <xf numFmtId="0" fontId="3" fillId="0" borderId="2" xfId="0" applyFont="1" applyBorder="1"/>
    <xf numFmtId="0" fontId="0" fillId="0" borderId="3" xfId="0" applyBorder="1"/>
    <xf numFmtId="0" fontId="0" fillId="0" borderId="4" xfId="0" applyBorder="1"/>
    <xf numFmtId="0" fontId="0" fillId="0" borderId="6" xfId="0" applyBorder="1"/>
    <xf numFmtId="2" fontId="0" fillId="0" borderId="8" xfId="0" applyNumberFormat="1" applyBorder="1"/>
    <xf numFmtId="0" fontId="0" fillId="0" borderId="9" xfId="0" applyBorder="1"/>
    <xf numFmtId="0" fontId="14" fillId="5" borderId="2" xfId="4" applyFont="1" applyFill="1" applyBorder="1" applyAlignment="1">
      <alignment vertical="center"/>
    </xf>
    <xf numFmtId="0" fontId="14" fillId="5" borderId="3" xfId="4" applyFont="1" applyFill="1" applyBorder="1" applyAlignment="1">
      <alignment vertical="center"/>
    </xf>
    <xf numFmtId="0" fontId="15" fillId="5" borderId="3" xfId="5" applyFont="1" applyFill="1" applyBorder="1" applyAlignment="1">
      <alignment vertical="center"/>
    </xf>
    <xf numFmtId="0" fontId="15" fillId="5" borderId="4" xfId="4" applyFont="1" applyFill="1" applyBorder="1" applyAlignment="1" applyProtection="1">
      <alignment vertical="center"/>
      <protection locked="0"/>
    </xf>
    <xf numFmtId="0" fontId="17" fillId="5" borderId="6" xfId="4" applyFont="1" applyFill="1" applyBorder="1"/>
    <xf numFmtId="0" fontId="14" fillId="5" borderId="5" xfId="4" applyFont="1" applyFill="1" applyBorder="1" applyAlignment="1">
      <alignment vertical="center"/>
    </xf>
    <xf numFmtId="0" fontId="14" fillId="5" borderId="0" xfId="4" applyFont="1" applyFill="1" applyAlignment="1">
      <alignment vertical="center"/>
    </xf>
    <xf numFmtId="0" fontId="15" fillId="5" borderId="0" xfId="5" applyFont="1" applyFill="1" applyAlignment="1">
      <alignment vertical="center"/>
    </xf>
    <xf numFmtId="0" fontId="15" fillId="5" borderId="6" xfId="4" applyFont="1" applyFill="1" applyBorder="1" applyAlignment="1" applyProtection="1">
      <alignment vertical="center"/>
      <protection locked="0"/>
    </xf>
    <xf numFmtId="0" fontId="17" fillId="5" borderId="0" xfId="4" applyFont="1" applyFill="1"/>
    <xf numFmtId="0" fontId="15" fillId="5" borderId="6" xfId="4" applyFont="1" applyFill="1" applyBorder="1" applyAlignment="1">
      <alignment vertical="center"/>
    </xf>
    <xf numFmtId="0" fontId="18" fillId="5" borderId="26" xfId="5" applyFont="1" applyFill="1" applyBorder="1" applyAlignment="1">
      <alignment horizontal="center" vertical="center"/>
    </xf>
    <xf numFmtId="171" fontId="15" fillId="6" borderId="31" xfId="5" applyNumberFormat="1" applyFont="1" applyFill="1" applyBorder="1" applyAlignment="1">
      <alignment horizontal="center" vertical="center"/>
    </xf>
    <xf numFmtId="0" fontId="15" fillId="5" borderId="9" xfId="4" applyFont="1" applyFill="1" applyBorder="1" applyAlignment="1">
      <alignment vertical="center"/>
    </xf>
    <xf numFmtId="0" fontId="13" fillId="5" borderId="5" xfId="4" applyFill="1" applyBorder="1" applyAlignment="1">
      <alignment horizontal="left" vertical="center" wrapText="1" indent="1"/>
    </xf>
    <xf numFmtId="0" fontId="13" fillId="5" borderId="0" xfId="4" applyFill="1" applyAlignment="1">
      <alignment horizontal="center" vertical="center"/>
    </xf>
    <xf numFmtId="0" fontId="13" fillId="5" borderId="7" xfId="4" applyFill="1" applyBorder="1" applyAlignment="1">
      <alignment horizontal="left" vertical="center" wrapText="1" indent="1"/>
    </xf>
    <xf numFmtId="0" fontId="13" fillId="5" borderId="8" xfId="4" applyFill="1" applyBorder="1" applyAlignment="1">
      <alignment horizontal="center" vertical="center"/>
    </xf>
    <xf numFmtId="0" fontId="0" fillId="5" borderId="6" xfId="0" applyFill="1" applyBorder="1" applyAlignment="1">
      <alignment horizontal="center"/>
    </xf>
    <xf numFmtId="0" fontId="0" fillId="5" borderId="9" xfId="0" applyFill="1" applyBorder="1" applyAlignment="1">
      <alignment horizontal="center"/>
    </xf>
    <xf numFmtId="0" fontId="3" fillId="5" borderId="2" xfId="0" applyFont="1" applyFill="1" applyBorder="1" applyAlignment="1">
      <alignment wrapText="1"/>
    </xf>
    <xf numFmtId="0" fontId="3" fillId="5" borderId="3" xfId="0" applyFont="1" applyFill="1" applyBorder="1" applyAlignment="1">
      <alignment wrapText="1"/>
    </xf>
    <xf numFmtId="0" fontId="3" fillId="5" borderId="4" xfId="0" applyFont="1" applyFill="1" applyBorder="1" applyAlignment="1">
      <alignment wrapText="1"/>
    </xf>
    <xf numFmtId="0" fontId="0" fillId="0" borderId="8" xfId="0" applyBorder="1"/>
    <xf numFmtId="0" fontId="19" fillId="5" borderId="0" xfId="0" applyFont="1" applyFill="1" applyAlignment="1">
      <alignment horizontal="left"/>
    </xf>
    <xf numFmtId="169" fontId="12" fillId="4" borderId="1" xfId="1" applyNumberFormat="1" applyFont="1" applyFill="1" applyBorder="1" applyAlignment="1">
      <alignment horizontal="right" vertical="center"/>
    </xf>
    <xf numFmtId="0" fontId="6" fillId="5" borderId="0" xfId="0" applyFont="1" applyFill="1"/>
    <xf numFmtId="0" fontId="4" fillId="11" borderId="5" xfId="0" applyFont="1" applyFill="1" applyBorder="1" applyAlignment="1">
      <alignment horizontal="right" vertical="center" wrapText="1"/>
    </xf>
    <xf numFmtId="168" fontId="0" fillId="0" borderId="0" xfId="0" applyNumberFormat="1"/>
    <xf numFmtId="0" fontId="11" fillId="0" borderId="0" xfId="0" applyFont="1" applyAlignment="1">
      <alignment vertical="top"/>
    </xf>
    <xf numFmtId="172" fontId="0" fillId="0" borderId="18" xfId="0" applyNumberFormat="1" applyBorder="1"/>
    <xf numFmtId="4" fontId="0" fillId="0" borderId="0" xfId="0" applyNumberFormat="1"/>
    <xf numFmtId="171" fontId="0" fillId="0" borderId="0" xfId="0" applyNumberFormat="1"/>
    <xf numFmtId="3" fontId="0" fillId="0" borderId="0" xfId="0" applyNumberFormat="1"/>
    <xf numFmtId="0" fontId="0" fillId="0" borderId="22" xfId="0" applyBorder="1"/>
    <xf numFmtId="0" fontId="0" fillId="0" borderId="21" xfId="0" applyBorder="1"/>
    <xf numFmtId="166" fontId="6" fillId="5" borderId="0" xfId="0" applyNumberFormat="1" applyFont="1" applyFill="1" applyAlignment="1">
      <alignment horizontal="right"/>
    </xf>
    <xf numFmtId="0" fontId="20" fillId="5" borderId="0" xfId="0" applyFont="1" applyFill="1" applyAlignment="1">
      <alignment horizontal="left" indent="1"/>
    </xf>
    <xf numFmtId="0" fontId="21" fillId="5" borderId="0" xfId="0" applyFont="1" applyFill="1" applyAlignment="1">
      <alignment horizontal="left" indent="1"/>
    </xf>
    <xf numFmtId="0" fontId="0" fillId="5" borderId="0" xfId="0" applyFill="1" applyAlignment="1">
      <alignment horizontal="left" indent="1"/>
    </xf>
    <xf numFmtId="0" fontId="24" fillId="0" borderId="0" xfId="0" applyFont="1"/>
    <xf numFmtId="0" fontId="27" fillId="12" borderId="35" xfId="0" applyFont="1" applyFill="1" applyBorder="1" applyAlignment="1">
      <alignment horizontal="center" vertical="center"/>
    </xf>
    <xf numFmtId="0" fontId="27" fillId="0" borderId="35" xfId="0" applyFont="1" applyBorder="1" applyAlignment="1">
      <alignment horizontal="center" vertical="center"/>
    </xf>
    <xf numFmtId="0" fontId="27" fillId="12" borderId="39" xfId="0" applyFont="1" applyFill="1" applyBorder="1" applyAlignment="1">
      <alignment horizontal="center"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22" fontId="0" fillId="0" borderId="0" xfId="0" applyNumberFormat="1"/>
    <xf numFmtId="0" fontId="0" fillId="0" borderId="0" xfId="0" quotePrefix="1"/>
    <xf numFmtId="0" fontId="27" fillId="0" borderId="42" xfId="0" applyFont="1" applyBorder="1" applyAlignment="1">
      <alignment horizontal="center" vertical="center"/>
    </xf>
    <xf numFmtId="0" fontId="26" fillId="12" borderId="43" xfId="0" applyFont="1" applyFill="1" applyBorder="1" applyAlignment="1">
      <alignment horizontal="center" vertical="center"/>
    </xf>
    <xf numFmtId="3" fontId="26" fillId="12" borderId="44" xfId="0" applyNumberFormat="1" applyFont="1" applyFill="1" applyBorder="1" applyAlignment="1">
      <alignment horizontal="center" vertical="center"/>
    </xf>
    <xf numFmtId="2" fontId="27" fillId="12" borderId="39" xfId="0" applyNumberFormat="1" applyFont="1" applyFill="1" applyBorder="1" applyAlignment="1">
      <alignment horizontal="center" vertical="center"/>
    </xf>
    <xf numFmtId="2" fontId="27" fillId="0" borderId="35" xfId="0" applyNumberFormat="1" applyFont="1" applyBorder="1" applyAlignment="1">
      <alignment horizontal="center" vertical="center"/>
    </xf>
    <xf numFmtId="2" fontId="27" fillId="12" borderId="35" xfId="0" applyNumberFormat="1" applyFont="1" applyFill="1" applyBorder="1" applyAlignment="1">
      <alignment horizontal="center" vertical="center"/>
    </xf>
    <xf numFmtId="2" fontId="27" fillId="0" borderId="42" xfId="0" applyNumberFormat="1" applyFont="1" applyBorder="1" applyAlignment="1">
      <alignment horizontal="center" vertical="center"/>
    </xf>
    <xf numFmtId="0" fontId="0" fillId="0" borderId="0" xfId="0" applyAlignment="1">
      <alignment horizontal="left"/>
    </xf>
    <xf numFmtId="2" fontId="27" fillId="0" borderId="46" xfId="0" applyNumberFormat="1" applyFont="1" applyBorder="1" applyAlignment="1">
      <alignment horizontal="center" vertical="center"/>
    </xf>
    <xf numFmtId="2" fontId="27" fillId="12" borderId="46" xfId="0" applyNumberFormat="1" applyFont="1" applyFill="1" applyBorder="1" applyAlignment="1">
      <alignment horizontal="center" vertical="center"/>
    </xf>
    <xf numFmtId="2" fontId="27" fillId="0" borderId="47" xfId="0" applyNumberFormat="1" applyFont="1" applyBorder="1" applyAlignment="1">
      <alignment horizontal="center" vertical="center"/>
    </xf>
    <xf numFmtId="2" fontId="27" fillId="12" borderId="45" xfId="0" applyNumberFormat="1" applyFont="1" applyFill="1" applyBorder="1" applyAlignment="1">
      <alignment horizontal="center" vertical="center"/>
    </xf>
    <xf numFmtId="0" fontId="26" fillId="0" borderId="48" xfId="0" applyFont="1" applyBorder="1" applyAlignment="1">
      <alignment horizontal="left" vertical="center"/>
    </xf>
    <xf numFmtId="0" fontId="26" fillId="0" borderId="27" xfId="0" applyFont="1" applyBorder="1" applyAlignment="1">
      <alignment horizontal="left" vertical="center"/>
    </xf>
    <xf numFmtId="0" fontId="26" fillId="0" borderId="28" xfId="0" applyFont="1" applyBorder="1" applyAlignment="1">
      <alignment horizontal="left" vertical="center"/>
    </xf>
    <xf numFmtId="0" fontId="21" fillId="0" borderId="0" xfId="0" applyFont="1" applyAlignment="1">
      <alignment horizontal="left" vertical="center"/>
    </xf>
    <xf numFmtId="0" fontId="0" fillId="0" borderId="49" xfId="0" applyBorder="1" applyAlignment="1">
      <alignment horizontal="right"/>
    </xf>
    <xf numFmtId="164" fontId="0" fillId="0" borderId="50" xfId="1" applyNumberFormat="1" applyFont="1" applyBorder="1" applyAlignment="1">
      <alignment horizontal="right"/>
    </xf>
    <xf numFmtId="0" fontId="0" fillId="0" borderId="46" xfId="0" applyBorder="1" applyAlignment="1">
      <alignment horizontal="left"/>
    </xf>
    <xf numFmtId="0" fontId="0" fillId="0" borderId="51" xfId="0" applyBorder="1" applyAlignment="1">
      <alignment horizontal="left"/>
    </xf>
    <xf numFmtId="0" fontId="0" fillId="0" borderId="45" xfId="0" applyBorder="1" applyAlignment="1">
      <alignment horizontal="left"/>
    </xf>
    <xf numFmtId="0" fontId="0" fillId="0" borderId="54" xfId="0" applyBorder="1" applyAlignment="1">
      <alignment horizontal="right"/>
    </xf>
    <xf numFmtId="0" fontId="26" fillId="0" borderId="0" xfId="0" applyFont="1" applyAlignment="1">
      <alignment horizontal="left" vertical="center"/>
    </xf>
    <xf numFmtId="0" fontId="0" fillId="0" borderId="0" xfId="0" applyAlignment="1">
      <alignment wrapText="1"/>
    </xf>
    <xf numFmtId="0" fontId="3" fillId="0" borderId="52" xfId="0" applyFont="1" applyBorder="1" applyAlignment="1">
      <alignment horizontal="center"/>
    </xf>
    <xf numFmtId="0" fontId="3" fillId="0" borderId="57" xfId="0" applyFont="1" applyBorder="1" applyAlignment="1">
      <alignment horizontal="center"/>
    </xf>
    <xf numFmtId="0" fontId="3" fillId="0" borderId="53" xfId="0" applyFont="1" applyBorder="1" applyAlignment="1">
      <alignment horizontal="center"/>
    </xf>
    <xf numFmtId="0" fontId="3" fillId="0" borderId="55" xfId="0" applyFont="1" applyBorder="1" applyAlignment="1">
      <alignment horizontal="center"/>
    </xf>
    <xf numFmtId="0" fontId="3" fillId="0" borderId="56" xfId="0" applyFont="1" applyBorder="1" applyAlignment="1">
      <alignment horizontal="center"/>
    </xf>
    <xf numFmtId="0" fontId="25" fillId="0" borderId="0" xfId="0" applyFont="1" applyAlignment="1">
      <alignment horizontal="left"/>
    </xf>
    <xf numFmtId="0" fontId="15" fillId="5" borderId="27" xfId="5" applyFont="1" applyFill="1" applyBorder="1" applyAlignment="1">
      <alignment horizontal="left" vertical="center"/>
    </xf>
    <xf numFmtId="0" fontId="15" fillId="5" borderId="11" xfId="5" applyFont="1" applyFill="1" applyBorder="1" applyAlignment="1">
      <alignment horizontal="left" vertical="center"/>
    </xf>
    <xf numFmtId="0" fontId="15" fillId="5" borderId="12" xfId="5" applyFont="1" applyFill="1" applyBorder="1" applyAlignment="1">
      <alignment horizontal="left" vertical="center"/>
    </xf>
    <xf numFmtId="0" fontId="15" fillId="5" borderId="28" xfId="5" applyFont="1" applyFill="1" applyBorder="1" applyAlignment="1">
      <alignment horizontal="left" vertical="center"/>
    </xf>
    <xf numFmtId="0" fontId="15" fillId="5" borderId="29" xfId="5" applyFont="1" applyFill="1" applyBorder="1" applyAlignment="1">
      <alignment horizontal="left" vertical="center"/>
    </xf>
    <xf numFmtId="0" fontId="15" fillId="5" borderId="30" xfId="5" applyFont="1" applyFill="1" applyBorder="1" applyAlignment="1">
      <alignment horizontal="left" vertical="center"/>
    </xf>
    <xf numFmtId="0" fontId="14" fillId="5" borderId="10" xfId="5" applyFont="1" applyFill="1" applyBorder="1" applyAlignment="1">
      <alignment horizontal="center" vertical="center"/>
    </xf>
    <xf numFmtId="0" fontId="14" fillId="5" borderId="11" xfId="5" applyFont="1" applyFill="1" applyBorder="1" applyAlignment="1">
      <alignment horizontal="center" vertical="center"/>
    </xf>
    <xf numFmtId="0" fontId="14" fillId="5" borderId="12" xfId="5" applyFont="1" applyFill="1" applyBorder="1" applyAlignment="1">
      <alignment horizontal="center" vertical="center"/>
    </xf>
    <xf numFmtId="0" fontId="16" fillId="5" borderId="25" xfId="4" applyFont="1" applyFill="1" applyBorder="1" applyAlignment="1">
      <alignment horizontal="center" vertical="center"/>
    </xf>
    <xf numFmtId="0" fontId="16" fillId="5" borderId="18" xfId="4" applyFont="1" applyFill="1" applyBorder="1" applyAlignment="1">
      <alignment horizontal="center" vertical="center"/>
    </xf>
    <xf numFmtId="0" fontId="16" fillId="5" borderId="19" xfId="4" applyFont="1" applyFill="1" applyBorder="1" applyAlignment="1">
      <alignment horizontal="center" vertical="center"/>
    </xf>
    <xf numFmtId="0" fontId="16" fillId="5" borderId="26" xfId="4" applyFont="1" applyFill="1" applyBorder="1" applyAlignment="1">
      <alignment horizontal="center" vertical="center"/>
    </xf>
    <xf numFmtId="0" fontId="16" fillId="5" borderId="21" xfId="4" applyFont="1" applyFill="1" applyBorder="1" applyAlignment="1">
      <alignment horizontal="center" vertical="center"/>
    </xf>
    <xf numFmtId="0" fontId="16" fillId="5" borderId="23" xfId="4" applyFont="1" applyFill="1" applyBorder="1" applyAlignment="1">
      <alignment horizontal="center" vertical="center"/>
    </xf>
    <xf numFmtId="0" fontId="18" fillId="5" borderId="25" xfId="5" applyFont="1" applyFill="1" applyBorder="1" applyAlignment="1">
      <alignment horizontal="center" vertical="center"/>
    </xf>
    <xf numFmtId="0" fontId="18" fillId="5" borderId="18" xfId="5" applyFont="1" applyFill="1" applyBorder="1" applyAlignment="1">
      <alignment horizontal="center" vertical="center"/>
    </xf>
    <xf numFmtId="0" fontId="18" fillId="5" borderId="19" xfId="5" applyFont="1" applyFill="1" applyBorder="1" applyAlignment="1">
      <alignment horizontal="center" vertical="center"/>
    </xf>
    <xf numFmtId="0" fontId="18" fillId="5" borderId="26" xfId="5" applyFont="1" applyFill="1" applyBorder="1" applyAlignment="1">
      <alignment horizontal="center" vertical="center"/>
    </xf>
    <xf numFmtId="0" fontId="18" fillId="5" borderId="21" xfId="5" applyFont="1" applyFill="1" applyBorder="1" applyAlignment="1">
      <alignment horizontal="center" vertical="center"/>
    </xf>
    <xf numFmtId="0" fontId="18" fillId="5" borderId="23" xfId="5" applyFont="1" applyFill="1" applyBorder="1" applyAlignment="1">
      <alignment horizontal="center" vertical="center"/>
    </xf>
    <xf numFmtId="0" fontId="4" fillId="2" borderId="14" xfId="0" applyFont="1" applyFill="1" applyBorder="1" applyAlignment="1">
      <alignment horizontal="center" vertical="center" wrapText="1"/>
    </xf>
    <xf numFmtId="0" fontId="0" fillId="0" borderId="14" xfId="0" applyBorder="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9" fillId="2" borderId="22" xfId="0" applyFont="1" applyFill="1" applyBorder="1" applyAlignment="1">
      <alignment horizontal="center" vertical="center" wrapText="1"/>
    </xf>
    <xf numFmtId="0" fontId="9" fillId="2" borderId="21"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0" fillId="0" borderId="22"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26" fillId="0" borderId="58" xfId="0" applyFont="1" applyBorder="1" applyAlignment="1">
      <alignment horizontal="center" vertical="center" wrapText="1"/>
    </xf>
    <xf numFmtId="173" fontId="27" fillId="12" borderId="39" xfId="1" applyNumberFormat="1" applyFont="1" applyFill="1" applyBorder="1" applyAlignment="1">
      <alignment horizontal="center" vertical="center"/>
    </xf>
    <xf numFmtId="173" fontId="27" fillId="0" borderId="35" xfId="1" applyNumberFormat="1" applyFont="1" applyBorder="1" applyAlignment="1">
      <alignment horizontal="center" vertical="center"/>
    </xf>
    <xf numFmtId="173" fontId="27" fillId="12" borderId="35" xfId="1" applyNumberFormat="1" applyFont="1" applyFill="1" applyBorder="1" applyAlignment="1">
      <alignment horizontal="center" vertical="center"/>
    </xf>
    <xf numFmtId="173" fontId="27" fillId="0" borderId="42" xfId="1" applyNumberFormat="1" applyFont="1" applyBorder="1" applyAlignment="1">
      <alignment horizontal="center" vertical="center"/>
    </xf>
    <xf numFmtId="173" fontId="26" fillId="12" borderId="44" xfId="1" applyNumberFormat="1" applyFont="1" applyFill="1" applyBorder="1" applyAlignment="1">
      <alignment horizontal="center" vertical="center"/>
    </xf>
    <xf numFmtId="173" fontId="27" fillId="12" borderId="45" xfId="1" applyNumberFormat="1" applyFont="1" applyFill="1" applyBorder="1" applyAlignment="1">
      <alignment horizontal="center" vertical="center"/>
    </xf>
    <xf numFmtId="173" fontId="27" fillId="0" borderId="46" xfId="1" applyNumberFormat="1" applyFont="1" applyBorder="1" applyAlignment="1">
      <alignment horizontal="center" vertical="center"/>
    </xf>
    <xf numFmtId="173" fontId="27" fillId="12" borderId="46" xfId="1" applyNumberFormat="1" applyFont="1" applyFill="1" applyBorder="1" applyAlignment="1">
      <alignment horizontal="center" vertical="center"/>
    </xf>
    <xf numFmtId="173" fontId="27" fillId="0" borderId="47" xfId="1" applyNumberFormat="1" applyFont="1" applyBorder="1" applyAlignment="1">
      <alignment horizontal="center" vertical="center"/>
    </xf>
    <xf numFmtId="0" fontId="0" fillId="0" borderId="32" xfId="0" applyBorder="1" applyAlignment="1">
      <alignment vertical="center" wrapText="1"/>
    </xf>
    <xf numFmtId="0" fontId="0" fillId="0" borderId="33" xfId="0" applyBorder="1" applyAlignment="1">
      <alignment vertical="center" wrapText="1"/>
    </xf>
    <xf numFmtId="0" fontId="0" fillId="0" borderId="34" xfId="0" applyBorder="1" applyAlignment="1">
      <alignment vertical="center" wrapText="1"/>
    </xf>
    <xf numFmtId="0" fontId="0" fillId="0" borderId="35" xfId="0" applyBorder="1" applyAlignment="1">
      <alignment vertical="center" wrapText="1"/>
    </xf>
    <xf numFmtId="0" fontId="0" fillId="0" borderId="1" xfId="0" applyBorder="1" applyAlignment="1">
      <alignment vertical="center" wrapText="1"/>
    </xf>
    <xf numFmtId="0" fontId="0" fillId="0" borderId="36" xfId="0" applyBorder="1" applyAlignment="1">
      <alignment vertical="center" wrapText="1"/>
    </xf>
    <xf numFmtId="0" fontId="0" fillId="0" borderId="37" xfId="0" applyBorder="1" applyAlignment="1">
      <alignment vertical="center" wrapText="1"/>
    </xf>
    <xf numFmtId="0" fontId="0" fillId="0" borderId="31" xfId="0" applyBorder="1" applyAlignment="1">
      <alignment vertical="center" wrapText="1"/>
    </xf>
    <xf numFmtId="0" fontId="0" fillId="0" borderId="38" xfId="0" applyBorder="1" applyAlignment="1">
      <alignment vertical="center" wrapText="1"/>
    </xf>
    <xf numFmtId="0" fontId="28" fillId="0" borderId="0" xfId="0" applyFont="1"/>
  </cellXfs>
  <cellStyles count="6">
    <cellStyle name="Comma" xfId="1" builtinId="3"/>
    <cellStyle name="Hyperlink" xfId="2" builtinId="8"/>
    <cellStyle name="Normal" xfId="0" builtinId="0"/>
    <cellStyle name="Normal 2" xfId="5" xr:uid="{113CC41B-EA0E-4320-97C8-DD1D21D874B3}"/>
    <cellStyle name="Normal 3" xfId="4" xr:uid="{BCE7C7CA-81B1-4B8F-AD30-0A89376D1C6A}"/>
    <cellStyle name="Percent" xfId="3" builtinId="5"/>
  </cellStyles>
  <dxfs count="2">
    <dxf>
      <numFmt numFmtId="13"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nergy.gov/energysaver/gas-swimming-pool-heaters" TargetMode="External"/><Relationship Id="rId1" Type="http://schemas.openxmlformats.org/officeDocument/2006/relationships/hyperlink" Target="https://www.energy.gov/energysaver/heat-pump-swimming-pool-heat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D828-401A-43E9-8B81-1296B1E63B36}">
  <sheetPr>
    <tabColor theme="9"/>
  </sheetPr>
  <dimension ref="A1:H26"/>
  <sheetViews>
    <sheetView tabSelected="1" topLeftCell="A2" workbookViewId="0">
      <selection activeCell="C11" sqref="C11"/>
    </sheetView>
  </sheetViews>
  <sheetFormatPr defaultRowHeight="15" x14ac:dyDescent="0.25"/>
  <cols>
    <col min="1" max="1" width="24.5703125" bestFit="1" customWidth="1"/>
    <col min="2" max="2" width="10.85546875" customWidth="1"/>
    <col min="3" max="3" width="36.85546875" bestFit="1" customWidth="1"/>
    <col min="4" max="4" width="27.140625" bestFit="1" customWidth="1"/>
    <col min="5" max="5" width="27.140625" customWidth="1"/>
    <col min="6" max="6" width="34.42578125" bestFit="1" customWidth="1"/>
    <col min="7" max="7" width="35.42578125" bestFit="1" customWidth="1"/>
    <col min="8" max="8" width="12.5703125" customWidth="1"/>
  </cols>
  <sheetData>
    <row r="1" spans="1:8" ht="15.75" thickBot="1" x14ac:dyDescent="0.3"/>
    <row r="2" spans="1:8" ht="33.75" customHeight="1" x14ac:dyDescent="0.25">
      <c r="A2" s="154" t="s">
        <v>204</v>
      </c>
      <c r="B2" s="223" t="s">
        <v>209</v>
      </c>
      <c r="C2" s="224"/>
      <c r="D2" s="224"/>
      <c r="E2" s="224"/>
      <c r="F2" s="224"/>
      <c r="G2" s="225"/>
    </row>
    <row r="3" spans="1:8" ht="34.5" customHeight="1" x14ac:dyDescent="0.25">
      <c r="A3" s="155" t="s">
        <v>205</v>
      </c>
      <c r="B3" s="226" t="s">
        <v>219</v>
      </c>
      <c r="C3" s="227"/>
      <c r="D3" s="227"/>
      <c r="E3" s="227"/>
      <c r="F3" s="227"/>
      <c r="G3" s="228"/>
    </row>
    <row r="4" spans="1:8" ht="33.75" customHeight="1" thickBot="1" x14ac:dyDescent="0.3">
      <c r="A4" s="156" t="s">
        <v>208</v>
      </c>
      <c r="B4" s="229" t="s">
        <v>210</v>
      </c>
      <c r="C4" s="230"/>
      <c r="D4" s="230"/>
      <c r="E4" s="230"/>
      <c r="F4" s="230"/>
      <c r="G4" s="231"/>
    </row>
    <row r="5" spans="1:8" ht="32.25" customHeight="1" thickBot="1" x14ac:dyDescent="0.3">
      <c r="A5" s="156" t="s">
        <v>212</v>
      </c>
      <c r="B5" s="229" t="s">
        <v>220</v>
      </c>
      <c r="C5" s="230"/>
      <c r="D5" s="230"/>
      <c r="E5" s="230"/>
      <c r="F5" s="230"/>
      <c r="G5" s="231"/>
    </row>
    <row r="6" spans="1:8" x14ac:dyDescent="0.25">
      <c r="A6" s="164" t="s">
        <v>225</v>
      </c>
      <c r="B6" s="165"/>
      <c r="C6" s="165"/>
      <c r="D6" s="165"/>
      <c r="E6" s="165"/>
      <c r="F6" s="165"/>
      <c r="G6" s="165"/>
    </row>
    <row r="7" spans="1:8" x14ac:dyDescent="0.25">
      <c r="A7" s="164" t="s">
        <v>230</v>
      </c>
      <c r="B7" s="165"/>
      <c r="C7" s="165"/>
      <c r="D7" s="165"/>
      <c r="E7" s="165"/>
      <c r="F7" s="165"/>
      <c r="G7" s="165"/>
    </row>
    <row r="8" spans="1:8" ht="15.75" thickBot="1" x14ac:dyDescent="0.3">
      <c r="A8" s="164"/>
      <c r="B8" s="165"/>
      <c r="C8" s="165"/>
      <c r="D8" s="165"/>
      <c r="E8" s="165"/>
      <c r="F8" s="165"/>
      <c r="G8" s="165"/>
    </row>
    <row r="9" spans="1:8" ht="15.75" thickBot="1" x14ac:dyDescent="0.3">
      <c r="A9" s="149"/>
      <c r="B9" s="166" t="s">
        <v>226</v>
      </c>
      <c r="C9" s="167"/>
      <c r="D9" s="167"/>
      <c r="E9" s="167"/>
      <c r="F9" s="167"/>
      <c r="G9" s="167"/>
      <c r="H9" s="168"/>
    </row>
    <row r="10" spans="1:8" ht="15.75" thickBot="1" x14ac:dyDescent="0.3">
      <c r="B10" s="138" t="s">
        <v>206</v>
      </c>
      <c r="C10" s="139" t="s">
        <v>223</v>
      </c>
      <c r="D10" s="213" t="s">
        <v>229</v>
      </c>
      <c r="E10" s="213" t="s">
        <v>222</v>
      </c>
      <c r="F10" s="139" t="s">
        <v>221</v>
      </c>
      <c r="G10" s="139" t="s">
        <v>224</v>
      </c>
      <c r="H10" s="139" t="s">
        <v>227</v>
      </c>
    </row>
    <row r="11" spans="1:8" ht="15.75" thickTop="1" x14ac:dyDescent="0.25">
      <c r="B11" s="137">
        <v>1</v>
      </c>
      <c r="C11" s="145" t="str">
        <f>IF(SUMIF('ap-HourlyResults'!$A$19:$A$8778,Summary!$B11,'ap-HourlyResults'!$Q$19:$Q$8778)=0,"-",SUMIF('ap-HourlyResults'!$A$19:$A$8778,Summary!$B11,'ap-HourlyResults'!$Q$19:$Q$8778))</f>
        <v>-</v>
      </c>
      <c r="D11" s="214" t="str">
        <f t="shared" ref="D11:D22" si="0">IFERROR(C11/$C$23*$D$23,"-")</f>
        <v>-</v>
      </c>
      <c r="E11" s="214" t="str">
        <f>IFERROR(C11/$C$23*$E$23,"-")</f>
        <v>-</v>
      </c>
      <c r="F11" s="153" t="str">
        <f t="shared" ref="F11:F22" si="1">IF(IFERROR(C11/$C$23*$F$23,"-")=0,"-",IFERROR(C11/$C$23*$F$23,"-"))</f>
        <v>-</v>
      </c>
      <c r="G11" s="153" t="str">
        <f>IF(IFERROR($G$23/12,"-")=0,"-",IFERROR($G$23/12,"-"))</f>
        <v>-</v>
      </c>
      <c r="H11" s="219">
        <f>SUM(G11,F11,E11,C11)</f>
        <v>0</v>
      </c>
    </row>
    <row r="12" spans="1:8" x14ac:dyDescent="0.25">
      <c r="B12" s="136">
        <v>2</v>
      </c>
      <c r="C12" s="146" t="str">
        <f>IF(SUMIF('ap-HourlyResults'!$A$19:$A$8778,Summary!$B12,'ap-HourlyResults'!$Q$19:$Q$8778)=0,"-",SUMIF('ap-HourlyResults'!$A$19:$A$8778,Summary!$B12,'ap-HourlyResults'!$Q$19:$Q$8778))</f>
        <v>-</v>
      </c>
      <c r="D12" s="215" t="str">
        <f t="shared" si="0"/>
        <v>-</v>
      </c>
      <c r="E12" s="215" t="str">
        <f t="shared" ref="E12:E22" si="2">IFERROR(C12/$C$23*$E$23,"-")</f>
        <v>-</v>
      </c>
      <c r="F12" s="150" t="str">
        <f t="shared" si="1"/>
        <v>-</v>
      </c>
      <c r="G12" s="150" t="str">
        <f>IF(IFERROR($G$23/12,"-")=0,"-",IFERROR($G$23/12,"-"))</f>
        <v>-</v>
      </c>
      <c r="H12" s="220">
        <f t="shared" ref="H12:H22" si="3">SUM(G12,F12,E12,C12)</f>
        <v>0</v>
      </c>
    </row>
    <row r="13" spans="1:8" x14ac:dyDescent="0.25">
      <c r="B13" s="135">
        <v>3</v>
      </c>
      <c r="C13" s="147" t="str">
        <f>IF(SUMIF('ap-HourlyResults'!$A$19:$A$8778,Summary!$B13,'ap-HourlyResults'!$Q$19:$Q$8778)=0,"-",SUMIF('ap-HourlyResults'!$A$19:$A$8778,Summary!$B13,'ap-HourlyResults'!$Q$19:$Q$8778))</f>
        <v>-</v>
      </c>
      <c r="D13" s="216" t="str">
        <f t="shared" si="0"/>
        <v>-</v>
      </c>
      <c r="E13" s="216" t="str">
        <f t="shared" si="2"/>
        <v>-</v>
      </c>
      <c r="F13" s="151" t="str">
        <f t="shared" si="1"/>
        <v>-</v>
      </c>
      <c r="G13" s="151" t="str">
        <f>IF(IFERROR($G$23/12,"-")=0,"-",IFERROR($G$23/12,"-"))</f>
        <v>-</v>
      </c>
      <c r="H13" s="221">
        <f t="shared" si="3"/>
        <v>0</v>
      </c>
    </row>
    <row r="14" spans="1:8" x14ac:dyDescent="0.25">
      <c r="B14" s="136">
        <v>4</v>
      </c>
      <c r="C14" s="146" t="str">
        <f>IF(SUMIF('ap-HourlyResults'!$A$19:$A$8778,Summary!$B14,'ap-HourlyResults'!$Q$19:$Q$8778)=0,"-",SUMIF('ap-HourlyResults'!$A$19:$A$8778,Summary!$B14,'ap-HourlyResults'!$Q$19:$Q$8778))</f>
        <v>-</v>
      </c>
      <c r="D14" s="215" t="str">
        <f t="shared" si="0"/>
        <v>-</v>
      </c>
      <c r="E14" s="215" t="str">
        <f t="shared" si="2"/>
        <v>-</v>
      </c>
      <c r="F14" s="150" t="str">
        <f t="shared" si="1"/>
        <v>-</v>
      </c>
      <c r="G14" s="150" t="str">
        <f>IF(IFERROR($G$23/12,"-")=0,"-",IFERROR($G$23/12,"-"))</f>
        <v>-</v>
      </c>
      <c r="H14" s="220">
        <f t="shared" si="3"/>
        <v>0</v>
      </c>
    </row>
    <row r="15" spans="1:8" x14ac:dyDescent="0.25">
      <c r="B15" s="135">
        <v>5</v>
      </c>
      <c r="C15" s="147" t="str">
        <f>IF(SUMIF('ap-HourlyResults'!$A$19:$A$8778,Summary!$B15,'ap-HourlyResults'!$Q$19:$Q$8778)=0,"-",SUMIF('ap-HourlyResults'!$A$19:$A$8778,Summary!$B15,'ap-HourlyResults'!$Q$19:$Q$8778))</f>
        <v>-</v>
      </c>
      <c r="D15" s="216" t="str">
        <f t="shared" si="0"/>
        <v>-</v>
      </c>
      <c r="E15" s="216" t="str">
        <f t="shared" si="2"/>
        <v>-</v>
      </c>
      <c r="F15" s="151" t="str">
        <f t="shared" si="1"/>
        <v>-</v>
      </c>
      <c r="G15" s="151" t="str">
        <f>IF(IFERROR($G$23/12,"-")=0,"-",IFERROR($G$23/12,"-"))</f>
        <v>-</v>
      </c>
      <c r="H15" s="221">
        <f t="shared" si="3"/>
        <v>0</v>
      </c>
    </row>
    <row r="16" spans="1:8" x14ac:dyDescent="0.25">
      <c r="B16" s="136">
        <v>6</v>
      </c>
      <c r="C16" s="146" t="str">
        <f>IF(SUMIF('ap-HourlyResults'!$A$19:$A$8778,Summary!$B16,'ap-HourlyResults'!$Q$19:$Q$8778)=0,"-",SUMIF('ap-HourlyResults'!$A$19:$A$8778,Summary!$B16,'ap-HourlyResults'!$Q$19:$Q$8778))</f>
        <v>-</v>
      </c>
      <c r="D16" s="215" t="str">
        <f t="shared" si="0"/>
        <v>-</v>
      </c>
      <c r="E16" s="215" t="str">
        <f t="shared" si="2"/>
        <v>-</v>
      </c>
      <c r="F16" s="150" t="str">
        <f t="shared" si="1"/>
        <v>-</v>
      </c>
      <c r="G16" s="150" t="str">
        <f>IF(IFERROR($G$23/12,"-")=0,"-",IFERROR($G$23/12,"-"))</f>
        <v>-</v>
      </c>
      <c r="H16" s="220">
        <f t="shared" si="3"/>
        <v>0</v>
      </c>
    </row>
    <row r="17" spans="1:8" x14ac:dyDescent="0.25">
      <c r="B17" s="135">
        <v>7</v>
      </c>
      <c r="C17" s="147" t="str">
        <f>IF(SUMIF('ap-HourlyResults'!$A$19:$A$8778,Summary!$B17,'ap-HourlyResults'!$Q$19:$Q$8778)=0,"-",SUMIF('ap-HourlyResults'!$A$19:$A$8778,Summary!$B17,'ap-HourlyResults'!$Q$19:$Q$8778))</f>
        <v>-</v>
      </c>
      <c r="D17" s="216" t="str">
        <f t="shared" si="0"/>
        <v>-</v>
      </c>
      <c r="E17" s="216" t="str">
        <f t="shared" si="2"/>
        <v>-</v>
      </c>
      <c r="F17" s="151" t="str">
        <f t="shared" si="1"/>
        <v>-</v>
      </c>
      <c r="G17" s="151" t="str">
        <f>IF(IFERROR($G$23/12,"-")=0,"-",IFERROR($G$23/12,"-"))</f>
        <v>-</v>
      </c>
      <c r="H17" s="221">
        <f t="shared" si="3"/>
        <v>0</v>
      </c>
    </row>
    <row r="18" spans="1:8" x14ac:dyDescent="0.25">
      <c r="B18" s="136">
        <v>8</v>
      </c>
      <c r="C18" s="146" t="str">
        <f>IF(SUMIF('ap-HourlyResults'!$A$19:$A$8778,Summary!$B18,'ap-HourlyResults'!$Q$19:$Q$8778)=0,"-",SUMIF('ap-HourlyResults'!$A$19:$A$8778,Summary!$B18,'ap-HourlyResults'!$Q$19:$Q$8778))</f>
        <v>-</v>
      </c>
      <c r="D18" s="215" t="str">
        <f t="shared" si="0"/>
        <v>-</v>
      </c>
      <c r="E18" s="215" t="str">
        <f t="shared" si="2"/>
        <v>-</v>
      </c>
      <c r="F18" s="150" t="str">
        <f t="shared" si="1"/>
        <v>-</v>
      </c>
      <c r="G18" s="150" t="str">
        <f>IF(IFERROR($G$23/12,"-")=0,"-",IFERROR($G$23/12,"-"))</f>
        <v>-</v>
      </c>
      <c r="H18" s="220">
        <f t="shared" si="3"/>
        <v>0</v>
      </c>
    </row>
    <row r="19" spans="1:8" x14ac:dyDescent="0.25">
      <c r="B19" s="135">
        <v>9</v>
      </c>
      <c r="C19" s="147" t="str">
        <f>IF(SUMIF('ap-HourlyResults'!$A$19:$A$8778,Summary!$B19,'ap-HourlyResults'!$Q$19:$Q$8778)=0,"-",SUMIF('ap-HourlyResults'!$A$19:$A$8778,Summary!$B19,'ap-HourlyResults'!$Q$19:$Q$8778))</f>
        <v>-</v>
      </c>
      <c r="D19" s="216" t="str">
        <f t="shared" si="0"/>
        <v>-</v>
      </c>
      <c r="E19" s="216" t="str">
        <f t="shared" si="2"/>
        <v>-</v>
      </c>
      <c r="F19" s="151" t="str">
        <f t="shared" si="1"/>
        <v>-</v>
      </c>
      <c r="G19" s="151" t="str">
        <f>IF(IFERROR($G$23/12,"-")=0,"-",IFERROR($G$23/12,"-"))</f>
        <v>-</v>
      </c>
      <c r="H19" s="221">
        <f t="shared" si="3"/>
        <v>0</v>
      </c>
    </row>
    <row r="20" spans="1:8" x14ac:dyDescent="0.25">
      <c r="B20" s="136">
        <v>10</v>
      </c>
      <c r="C20" s="146" t="str">
        <f>IF(SUMIF('ap-HourlyResults'!$A$19:$A$8778,Summary!$B20,'ap-HourlyResults'!$Q$19:$Q$8778)=0,"-",SUMIF('ap-HourlyResults'!$A$19:$A$8778,Summary!$B20,'ap-HourlyResults'!$Q$19:$Q$8778))</f>
        <v>-</v>
      </c>
      <c r="D20" s="215" t="str">
        <f t="shared" si="0"/>
        <v>-</v>
      </c>
      <c r="E20" s="215" t="str">
        <f t="shared" si="2"/>
        <v>-</v>
      </c>
      <c r="F20" s="150" t="str">
        <f t="shared" si="1"/>
        <v>-</v>
      </c>
      <c r="G20" s="150" t="str">
        <f>IF(IFERROR($G$23/12,"-")=0,"-",IFERROR($G$23/12,"-"))</f>
        <v>-</v>
      </c>
      <c r="H20" s="220">
        <f t="shared" si="3"/>
        <v>0</v>
      </c>
    </row>
    <row r="21" spans="1:8" x14ac:dyDescent="0.25">
      <c r="B21" s="135">
        <v>11</v>
      </c>
      <c r="C21" s="147" t="str">
        <f>IF(SUMIF('ap-HourlyResults'!$A$19:$A$8778,Summary!$B21,'ap-HourlyResults'!$Q$19:$Q$8778)=0,"-",SUMIF('ap-HourlyResults'!$A$19:$A$8778,Summary!$B21,'ap-HourlyResults'!$Q$19:$Q$8778))</f>
        <v>-</v>
      </c>
      <c r="D21" s="216" t="str">
        <f t="shared" si="0"/>
        <v>-</v>
      </c>
      <c r="E21" s="216" t="str">
        <f t="shared" si="2"/>
        <v>-</v>
      </c>
      <c r="F21" s="151" t="str">
        <f t="shared" si="1"/>
        <v>-</v>
      </c>
      <c r="G21" s="151" t="str">
        <f>IF(IFERROR($G$23/12,"-")=0,"-",IFERROR($G$23/12,"-"))</f>
        <v>-</v>
      </c>
      <c r="H21" s="221">
        <f t="shared" si="3"/>
        <v>0</v>
      </c>
    </row>
    <row r="22" spans="1:8" ht="15.75" thickBot="1" x14ac:dyDescent="0.3">
      <c r="B22" s="142">
        <v>12</v>
      </c>
      <c r="C22" s="148" t="str">
        <f>IF(SUMIF('ap-HourlyResults'!$A$19:$A$8778,Summary!$B22,'ap-HourlyResults'!$Q$19:$Q$8778)=0,"-",SUMIF('ap-HourlyResults'!$A$19:$A$8778,Summary!$B22,'ap-HourlyResults'!$Q$19:$Q$8778))</f>
        <v>-</v>
      </c>
      <c r="D22" s="217" t="str">
        <f t="shared" si="0"/>
        <v>-</v>
      </c>
      <c r="E22" s="217" t="str">
        <f t="shared" si="2"/>
        <v>-</v>
      </c>
      <c r="F22" s="152" t="str">
        <f t="shared" si="1"/>
        <v>-</v>
      </c>
      <c r="G22" s="152" t="str">
        <f>IF(IFERROR($G$23/12,"-")=0,"-",IFERROR($G$23/12,"-"))</f>
        <v>-</v>
      </c>
      <c r="H22" s="222">
        <f t="shared" si="3"/>
        <v>0</v>
      </c>
    </row>
    <row r="23" spans="1:8" ht="15.75" thickBot="1" x14ac:dyDescent="0.3">
      <c r="B23" s="143" t="s">
        <v>207</v>
      </c>
      <c r="C23" s="144">
        <f>SUM(C$11:C$22)</f>
        <v>0</v>
      </c>
      <c r="D23" s="218" t="str">
        <f>IF('Pool Energy Use Calculator'!$C$28="Gas / Propane",'Pool Energy Use Calculator'!F29,"-")</f>
        <v>-</v>
      </c>
      <c r="E23" s="218">
        <f>IF('Pool Energy Use Calculator'!$C$28="Gas / Propane",'Pool Energy Use Calculator'!$F$44,'Pool Energy Use Calculator'!$F$29+'Pool Energy Use Calculator'!$F$44)</f>
        <v>0</v>
      </c>
      <c r="F23" s="144" t="s">
        <v>211</v>
      </c>
      <c r="G23" s="144">
        <f>'EV Calculator'!D6</f>
        <v>0</v>
      </c>
      <c r="H23" s="218">
        <f>SUM(H11:H22)</f>
        <v>0</v>
      </c>
    </row>
    <row r="24" spans="1:8" x14ac:dyDescent="0.25">
      <c r="B24" s="157"/>
    </row>
    <row r="25" spans="1:8" x14ac:dyDescent="0.25">
      <c r="B25" s="157"/>
    </row>
    <row r="26" spans="1:8" x14ac:dyDescent="0.25">
      <c r="A26" t="s">
        <v>231</v>
      </c>
    </row>
  </sheetData>
  <mergeCells count="5">
    <mergeCell ref="B2:G2"/>
    <mergeCell ref="B3:G3"/>
    <mergeCell ref="B4:G4"/>
    <mergeCell ref="B5:G5"/>
    <mergeCell ref="B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AD75-AF27-48B9-907E-1838A37D1049}">
  <sheetPr>
    <tabColor theme="5"/>
  </sheetPr>
  <dimension ref="C1:D8"/>
  <sheetViews>
    <sheetView workbookViewId="0">
      <selection activeCell="D3" sqref="D3"/>
    </sheetView>
  </sheetViews>
  <sheetFormatPr defaultRowHeight="15" x14ac:dyDescent="0.25"/>
  <cols>
    <col min="3" max="3" width="41.7109375" customWidth="1"/>
    <col min="4" max="4" width="14" customWidth="1"/>
  </cols>
  <sheetData>
    <row r="1" spans="3:4" ht="15.75" thickBot="1" x14ac:dyDescent="0.3"/>
    <row r="2" spans="3:4" ht="15.75" thickBot="1" x14ac:dyDescent="0.3">
      <c r="C2" s="169" t="s">
        <v>218</v>
      </c>
      <c r="D2" s="170"/>
    </row>
    <row r="3" spans="3:4" ht="15.75" thickTop="1" x14ac:dyDescent="0.25">
      <c r="C3" s="162" t="s">
        <v>213</v>
      </c>
      <c r="D3" s="163"/>
    </row>
    <row r="4" spans="3:4" x14ac:dyDescent="0.25">
      <c r="C4" s="160" t="s">
        <v>216</v>
      </c>
      <c r="D4" s="158">
        <v>394</v>
      </c>
    </row>
    <row r="5" spans="3:4" x14ac:dyDescent="0.25">
      <c r="C5" s="160" t="s">
        <v>214</v>
      </c>
      <c r="D5" s="158">
        <v>1</v>
      </c>
    </row>
    <row r="6" spans="3:4" ht="15.75" thickBot="1" x14ac:dyDescent="0.3">
      <c r="C6" s="161" t="s">
        <v>215</v>
      </c>
      <c r="D6" s="159">
        <f>D3*D4*D5</f>
        <v>0</v>
      </c>
    </row>
    <row r="8" spans="3:4" x14ac:dyDescent="0.25">
      <c r="C8" t="s">
        <v>217</v>
      </c>
    </row>
  </sheetData>
  <mergeCells count="1">
    <mergeCell ref="C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2B5FE-9695-482D-AAEF-F545BAC3BC0D}">
  <sheetPr>
    <tabColor theme="4"/>
  </sheetPr>
  <dimension ref="B2:J58"/>
  <sheetViews>
    <sheetView showGridLines="0" zoomScale="85" zoomScaleNormal="85" workbookViewId="0">
      <selection activeCell="C15" sqref="C15"/>
    </sheetView>
  </sheetViews>
  <sheetFormatPr defaultRowHeight="15" x14ac:dyDescent="0.25"/>
  <cols>
    <col min="1" max="1" width="5.28515625" customWidth="1"/>
    <col min="2" max="2" width="39.7109375" customWidth="1"/>
    <col min="3" max="3" width="33.42578125" customWidth="1"/>
    <col min="4" max="4" width="23.85546875" customWidth="1"/>
    <col min="5" max="5" width="11.42578125" customWidth="1"/>
    <col min="6" max="9" width="13" customWidth="1"/>
    <col min="10" max="10" width="19" customWidth="1"/>
    <col min="11" max="11" width="4.7109375" customWidth="1"/>
    <col min="12" max="14" width="11.140625" customWidth="1"/>
    <col min="15" max="15" width="9.7109375" customWidth="1"/>
    <col min="16" max="18" width="10.85546875" customWidth="1"/>
    <col min="19" max="21" width="11.28515625" customWidth="1"/>
    <col min="22" max="22" width="9.7109375" bestFit="1" customWidth="1"/>
    <col min="25" max="28" width="15.28515625" customWidth="1"/>
  </cols>
  <sheetData>
    <row r="2" spans="2:10" ht="21" x14ac:dyDescent="0.35">
      <c r="B2" s="134" t="s">
        <v>196</v>
      </c>
    </row>
    <row r="3" spans="2:10" x14ac:dyDescent="0.25">
      <c r="B3" s="171" t="s">
        <v>197</v>
      </c>
      <c r="C3" s="171"/>
      <c r="D3" s="171"/>
      <c r="E3" s="171"/>
      <c r="F3" s="171"/>
      <c r="G3" s="171"/>
      <c r="H3" s="171"/>
      <c r="I3" s="171"/>
      <c r="J3" s="171"/>
    </row>
    <row r="4" spans="2:10" x14ac:dyDescent="0.25">
      <c r="B4" s="171" t="s">
        <v>198</v>
      </c>
      <c r="C4" s="171"/>
      <c r="D4" s="171"/>
      <c r="E4" s="171"/>
      <c r="F4" s="171"/>
      <c r="G4" s="171"/>
      <c r="H4" s="171"/>
      <c r="I4" s="171"/>
      <c r="J4" s="171"/>
    </row>
    <row r="5" spans="2:10" x14ac:dyDescent="0.25">
      <c r="B5" t="s">
        <v>200</v>
      </c>
    </row>
    <row r="6" spans="2:10" x14ac:dyDescent="0.25">
      <c r="B6" t="s">
        <v>201</v>
      </c>
    </row>
    <row r="7" spans="2:10" ht="19.5" thickBot="1" x14ac:dyDescent="0.35">
      <c r="B7" s="52" t="s">
        <v>82</v>
      </c>
    </row>
    <row r="8" spans="2:10" x14ac:dyDescent="0.25">
      <c r="B8" s="8"/>
      <c r="C8" s="9"/>
      <c r="D8" s="9"/>
      <c r="E8" s="9"/>
      <c r="F8" s="9"/>
      <c r="G8" s="9"/>
      <c r="H8" s="9"/>
      <c r="I8" s="9"/>
      <c r="J8" s="10"/>
    </row>
    <row r="9" spans="2:10" x14ac:dyDescent="0.25">
      <c r="B9" s="67" t="s">
        <v>179</v>
      </c>
      <c r="C9" s="119" t="s">
        <v>112</v>
      </c>
      <c r="D9" s="69"/>
      <c r="E9" s="13"/>
      <c r="F9" s="13"/>
      <c r="G9" s="13"/>
      <c r="H9" s="13"/>
      <c r="I9" s="13"/>
      <c r="J9" s="14"/>
    </row>
    <row r="10" spans="2:10" x14ac:dyDescent="0.25">
      <c r="B10" s="68"/>
      <c r="C10" s="69"/>
      <c r="D10" s="69"/>
      <c r="E10" s="13"/>
      <c r="F10" s="13"/>
      <c r="G10" s="13"/>
      <c r="H10" s="13"/>
      <c r="I10" s="13"/>
      <c r="J10" s="14"/>
    </row>
    <row r="11" spans="2:10" x14ac:dyDescent="0.25">
      <c r="B11" s="32" t="s">
        <v>180</v>
      </c>
      <c r="C11" s="50" t="s">
        <v>36</v>
      </c>
      <c r="D11" s="69"/>
      <c r="E11" s="13"/>
      <c r="F11" s="13"/>
      <c r="G11" s="13"/>
      <c r="H11" s="13"/>
      <c r="I11" s="13"/>
      <c r="J11" s="14"/>
    </row>
    <row r="12" spans="2:10" x14ac:dyDescent="0.25">
      <c r="B12" s="68"/>
      <c r="C12" s="69"/>
      <c r="D12" s="69"/>
      <c r="E12" s="13"/>
      <c r="F12" s="13"/>
      <c r="G12" s="13"/>
      <c r="H12" s="13"/>
      <c r="I12" s="13"/>
      <c r="J12" s="14"/>
    </row>
    <row r="13" spans="2:10" x14ac:dyDescent="0.25">
      <c r="B13" s="32" t="s">
        <v>185</v>
      </c>
      <c r="C13" s="33"/>
      <c r="D13" s="13"/>
      <c r="E13" s="13"/>
      <c r="F13" s="13"/>
      <c r="G13" s="13"/>
      <c r="H13" s="13"/>
      <c r="I13" s="13"/>
      <c r="J13" s="14"/>
    </row>
    <row r="14" spans="2:10" x14ac:dyDescent="0.25">
      <c r="B14" s="32"/>
      <c r="C14" s="34"/>
      <c r="D14" s="13"/>
      <c r="E14" s="13"/>
      <c r="F14" s="13"/>
      <c r="G14" s="13"/>
      <c r="H14" s="13"/>
      <c r="I14" s="13"/>
      <c r="J14" s="14"/>
    </row>
    <row r="15" spans="2:10" x14ac:dyDescent="0.25">
      <c r="B15" s="32" t="s">
        <v>228</v>
      </c>
      <c r="C15" s="33">
        <v>5</v>
      </c>
      <c r="D15" s="13"/>
      <c r="E15" s="13"/>
      <c r="F15" s="13"/>
      <c r="G15" s="13"/>
      <c r="H15" s="13"/>
      <c r="I15" s="13"/>
      <c r="J15" s="14"/>
    </row>
    <row r="16" spans="2:10" x14ac:dyDescent="0.25">
      <c r="B16" s="32"/>
      <c r="C16" s="34"/>
      <c r="D16" s="13"/>
      <c r="E16" s="13"/>
      <c r="F16" s="13"/>
      <c r="G16" s="13"/>
      <c r="H16" s="13"/>
      <c r="I16" s="13"/>
      <c r="J16" s="14"/>
    </row>
    <row r="17" spans="2:10" x14ac:dyDescent="0.25">
      <c r="B17" s="32" t="s">
        <v>184</v>
      </c>
      <c r="C17" s="33">
        <f>C13*C15*7.48052</f>
        <v>0</v>
      </c>
      <c r="D17" s="13"/>
      <c r="E17" s="13"/>
      <c r="F17" s="13"/>
      <c r="G17" s="13"/>
      <c r="H17" s="13"/>
      <c r="I17" s="13"/>
      <c r="J17" s="14"/>
    </row>
    <row r="18" spans="2:10" x14ac:dyDescent="0.25">
      <c r="B18" s="15"/>
      <c r="C18" s="35"/>
      <c r="D18" s="13"/>
      <c r="E18" s="13"/>
      <c r="F18" s="13"/>
      <c r="G18" s="13"/>
      <c r="H18" s="13"/>
      <c r="I18" s="13"/>
      <c r="J18" s="14"/>
    </row>
    <row r="19" spans="2:10" x14ac:dyDescent="0.25">
      <c r="B19" s="67" t="s">
        <v>186</v>
      </c>
      <c r="C19" s="50">
        <v>12</v>
      </c>
      <c r="D19" s="118" t="str">
        <f>IF(C9="","",IF(C19="not sure (use default)"," default estimate for this location: "&amp;Monthsperyear&amp;" months/yr",""))</f>
        <v/>
      </c>
      <c r="E19" s="13"/>
      <c r="F19" s="13"/>
      <c r="G19" s="13"/>
      <c r="H19" s="13"/>
      <c r="I19" s="13"/>
      <c r="J19" s="14"/>
    </row>
    <row r="20" spans="2:10" ht="15.75" thickBot="1" x14ac:dyDescent="0.3">
      <c r="B20" s="16"/>
      <c r="C20" s="17"/>
      <c r="D20" s="17"/>
      <c r="E20" s="17"/>
      <c r="F20" s="17"/>
      <c r="G20" s="17"/>
      <c r="H20" s="17"/>
      <c r="I20" s="17"/>
      <c r="J20" s="18"/>
    </row>
    <row r="25" spans="2:10" ht="19.5" thickBot="1" x14ac:dyDescent="0.35">
      <c r="B25" s="52" t="s">
        <v>57</v>
      </c>
      <c r="E25" s="2"/>
      <c r="F25" s="2"/>
      <c r="G25" s="2"/>
      <c r="H25" s="1"/>
    </row>
    <row r="26" spans="2:10" x14ac:dyDescent="0.25">
      <c r="B26" s="8"/>
      <c r="C26" s="9"/>
      <c r="D26" s="9"/>
      <c r="E26" s="9"/>
      <c r="F26" s="9"/>
      <c r="G26" s="9"/>
      <c r="H26" s="9"/>
      <c r="I26" s="9"/>
      <c r="J26" s="10"/>
    </row>
    <row r="27" spans="2:10" x14ac:dyDescent="0.25">
      <c r="B27" s="12"/>
      <c r="C27" s="13"/>
      <c r="D27" s="13"/>
      <c r="E27" s="13"/>
      <c r="F27" s="66" t="s">
        <v>188</v>
      </c>
      <c r="G27" s="13"/>
      <c r="H27" s="13"/>
      <c r="I27" s="13"/>
      <c r="J27" s="14"/>
    </row>
    <row r="28" spans="2:10" ht="15.75" thickBot="1" x14ac:dyDescent="0.3">
      <c r="B28" s="32" t="s">
        <v>183</v>
      </c>
      <c r="C28" s="50" t="s">
        <v>202</v>
      </c>
      <c r="D28" s="13"/>
      <c r="E28" s="13"/>
      <c r="F28" s="13"/>
      <c r="G28" s="13"/>
      <c r="H28" s="13"/>
      <c r="I28" s="13"/>
      <c r="J28" s="14"/>
    </row>
    <row r="29" spans="2:10" ht="15.75" thickBot="1" x14ac:dyDescent="0.3">
      <c r="B29" s="32"/>
      <c r="C29" s="34"/>
      <c r="D29" s="13"/>
      <c r="E29" s="13"/>
      <c r="F29" s="70">
        <f>IF(C9="","",IF(C28="Gas / propane",ROUNDDOWN('htg assumptions &amp; calcs'!C7,-1),ROUNDDOWN('htg assumptions &amp; calcs'!C8,-2)))</f>
        <v>0</v>
      </c>
      <c r="G29" s="66" t="str">
        <f>IF(C28="Gas / Propane","MBTU/year","kWh/year")</f>
        <v>kWh/year</v>
      </c>
      <c r="H29" s="120" t="str">
        <f>IF(C28="Heat pump","("&amp;ROUNDDOWN('htg assumptions &amp; calcs'!C7,1)&amp;" MBTU/yr)","")</f>
        <v>(0 MBTU/yr)</v>
      </c>
      <c r="I29" s="13"/>
      <c r="J29" s="14"/>
    </row>
    <row r="30" spans="2:10" x14ac:dyDescent="0.25">
      <c r="B30" s="121" t="s">
        <v>182</v>
      </c>
      <c r="C30" s="50" t="s">
        <v>203</v>
      </c>
      <c r="D30" s="13"/>
      <c r="E30" s="13"/>
      <c r="F30" s="130"/>
      <c r="G30" s="120"/>
      <c r="H30" s="13"/>
      <c r="I30" s="13"/>
      <c r="J30" s="14"/>
    </row>
    <row r="31" spans="2:10" x14ac:dyDescent="0.25">
      <c r="B31" s="32"/>
      <c r="C31" s="34"/>
      <c r="D31" s="13"/>
      <c r="E31" s="13"/>
      <c r="F31" s="13"/>
      <c r="G31" s="13"/>
      <c r="H31" s="13"/>
      <c r="I31" s="13"/>
      <c r="J31" s="14"/>
    </row>
    <row r="32" spans="2:10" x14ac:dyDescent="0.25">
      <c r="B32" s="32" t="s">
        <v>181</v>
      </c>
      <c r="C32" s="50">
        <v>80</v>
      </c>
      <c r="D32" s="13"/>
      <c r="E32" s="13"/>
      <c r="F32" s="13"/>
      <c r="G32" s="13"/>
      <c r="H32" s="13"/>
      <c r="I32" s="13"/>
      <c r="J32" s="14"/>
    </row>
    <row r="33" spans="2:10" x14ac:dyDescent="0.25">
      <c r="B33" s="32"/>
      <c r="C33" s="34"/>
      <c r="D33" s="13"/>
      <c r="E33" s="13"/>
      <c r="F33" s="13"/>
      <c r="G33" s="13"/>
      <c r="H33" s="13"/>
      <c r="I33" s="13"/>
      <c r="J33" s="14"/>
    </row>
    <row r="34" spans="2:10" x14ac:dyDescent="0.25">
      <c r="B34" s="32" t="s">
        <v>178</v>
      </c>
      <c r="C34" s="45">
        <v>3</v>
      </c>
      <c r="D34" s="133" t="str">
        <f>IF(C28="Gas / Propane","Et (input as decimal)","COP")</f>
        <v>COP</v>
      </c>
      <c r="E34" s="13"/>
      <c r="F34" s="13"/>
      <c r="G34" s="13"/>
      <c r="H34" s="13"/>
      <c r="I34" s="13"/>
      <c r="J34" s="14"/>
    </row>
    <row r="35" spans="2:10" ht="15.75" thickBot="1" x14ac:dyDescent="0.3">
      <c r="B35" s="16"/>
      <c r="C35" s="17"/>
      <c r="D35" s="17"/>
      <c r="E35" s="17"/>
      <c r="F35" s="17"/>
      <c r="G35" s="17"/>
      <c r="H35" s="17"/>
      <c r="I35" s="17"/>
      <c r="J35" s="18"/>
    </row>
    <row r="40" spans="2:10" ht="19.5" thickBot="1" x14ac:dyDescent="0.35">
      <c r="B40" s="52" t="s">
        <v>58</v>
      </c>
    </row>
    <row r="41" spans="2:10" x14ac:dyDescent="0.25">
      <c r="B41" s="8"/>
      <c r="C41" s="9"/>
      <c r="D41" s="9"/>
      <c r="E41" s="9"/>
      <c r="F41" s="9"/>
      <c r="G41" s="9"/>
      <c r="H41" s="9"/>
      <c r="I41" s="9"/>
      <c r="J41" s="10"/>
    </row>
    <row r="42" spans="2:10" x14ac:dyDescent="0.25">
      <c r="B42" s="12"/>
      <c r="C42" s="13"/>
      <c r="D42" s="13"/>
      <c r="E42" s="13"/>
      <c r="F42" s="66" t="s">
        <v>189</v>
      </c>
      <c r="G42" s="13"/>
      <c r="H42" s="13"/>
      <c r="I42" s="13"/>
      <c r="J42" s="14"/>
    </row>
    <row r="43" spans="2:10" ht="15.75" thickBot="1" x14ac:dyDescent="0.3">
      <c r="B43" s="32" t="s">
        <v>192</v>
      </c>
      <c r="C43" s="46">
        <v>2</v>
      </c>
      <c r="D43" s="13"/>
      <c r="E43" s="13"/>
      <c r="F43" s="13"/>
      <c r="G43" s="13"/>
      <c r="H43" s="13"/>
      <c r="I43" s="13"/>
      <c r="J43" s="14"/>
    </row>
    <row r="44" spans="2:10" ht="15.75" thickBot="1" x14ac:dyDescent="0.3">
      <c r="B44" s="15"/>
      <c r="C44" s="35"/>
      <c r="D44" s="13"/>
      <c r="E44" s="13"/>
      <c r="F44" s="70">
        <f>IF(C9="","",ROUNDDOWN(C17*'pump assumptions &amp; calcs'!C40/(C51*1000)*(30.4*Monthsperyear),-2))</f>
        <v>0</v>
      </c>
      <c r="G44" s="66" t="s">
        <v>83</v>
      </c>
      <c r="H44" s="13"/>
      <c r="I44" s="13"/>
      <c r="J44" s="14"/>
    </row>
    <row r="45" spans="2:10" x14ac:dyDescent="0.25">
      <c r="B45" s="32" t="s">
        <v>193</v>
      </c>
      <c r="C45" s="81" t="s">
        <v>103</v>
      </c>
      <c r="D45" s="13"/>
      <c r="E45" s="13"/>
      <c r="F45" s="13"/>
      <c r="G45" s="13"/>
      <c r="H45" s="13"/>
      <c r="I45" s="13"/>
      <c r="J45" s="14"/>
    </row>
    <row r="46" spans="2:10" x14ac:dyDescent="0.25">
      <c r="B46" s="15"/>
      <c r="C46" s="13"/>
      <c r="D46" s="13"/>
      <c r="E46" s="13"/>
      <c r="F46" s="13"/>
      <c r="G46" s="13"/>
      <c r="H46" s="13"/>
      <c r="I46" s="13"/>
      <c r="J46" s="14"/>
    </row>
    <row r="47" spans="2:10" x14ac:dyDescent="0.25">
      <c r="B47" s="32" t="s">
        <v>87</v>
      </c>
      <c r="C47" s="81" t="s">
        <v>102</v>
      </c>
      <c r="D47" s="13"/>
      <c r="E47" s="13"/>
      <c r="F47" s="13"/>
      <c r="G47" s="13"/>
      <c r="H47" s="13"/>
      <c r="I47" s="13"/>
      <c r="J47" s="14"/>
    </row>
    <row r="48" spans="2:10" x14ac:dyDescent="0.25">
      <c r="B48" s="15"/>
      <c r="C48" s="13"/>
      <c r="D48" s="13"/>
      <c r="E48" s="13"/>
      <c r="F48" s="13"/>
      <c r="G48" s="13"/>
      <c r="H48" s="13"/>
      <c r="I48" s="13"/>
      <c r="J48" s="14"/>
    </row>
    <row r="49" spans="2:10" x14ac:dyDescent="0.25">
      <c r="B49" s="32" t="s">
        <v>190</v>
      </c>
      <c r="C49" s="81">
        <v>2</v>
      </c>
      <c r="D49" s="131" t="str">
        <f>IF(C9="","",IF(C49="not sure (use default)"," default estimate for this location: "&amp;turnovers&amp;" turnovers/day",""))</f>
        <v/>
      </c>
      <c r="E49" s="13"/>
      <c r="F49" s="13"/>
      <c r="G49" s="13"/>
      <c r="H49" s="13"/>
      <c r="I49" s="13"/>
      <c r="J49" s="14"/>
    </row>
    <row r="50" spans="2:10" x14ac:dyDescent="0.25">
      <c r="B50" s="15"/>
      <c r="C50" s="13"/>
      <c r="D50" s="13"/>
      <c r="E50" s="13"/>
      <c r="F50" s="13"/>
      <c r="G50" s="13"/>
      <c r="H50" s="13"/>
      <c r="I50" s="13"/>
      <c r="J50" s="14"/>
    </row>
    <row r="51" spans="2:10" x14ac:dyDescent="0.25">
      <c r="B51" s="32" t="s">
        <v>173</v>
      </c>
      <c r="C51" s="46">
        <f>IF(C43="","",'pump assumptions &amp; calcs'!C29)</f>
        <v>2.2990492653414001</v>
      </c>
      <c r="D51" s="131" t="s">
        <v>194</v>
      </c>
      <c r="E51" s="13"/>
      <c r="F51" s="13"/>
      <c r="G51" s="13"/>
      <c r="H51" s="13"/>
      <c r="I51" s="13"/>
      <c r="J51" s="14"/>
    </row>
    <row r="52" spans="2:10" x14ac:dyDescent="0.25">
      <c r="B52" s="15"/>
      <c r="C52" s="13"/>
      <c r="D52" s="132" t="s">
        <v>195</v>
      </c>
      <c r="E52" s="13"/>
      <c r="F52" s="13"/>
      <c r="G52" s="13"/>
      <c r="H52" s="13"/>
      <c r="I52" s="13"/>
      <c r="J52" s="14"/>
    </row>
    <row r="53" spans="2:10" x14ac:dyDescent="0.25">
      <c r="B53" s="15"/>
      <c r="C53" s="13"/>
      <c r="D53" s="132" t="s">
        <v>191</v>
      </c>
      <c r="E53" s="13"/>
      <c r="F53" s="13"/>
      <c r="G53" s="13"/>
      <c r="H53" s="13"/>
      <c r="I53" s="13"/>
      <c r="J53" s="14"/>
    </row>
    <row r="54" spans="2:10" ht="15.75" thickBot="1" x14ac:dyDescent="0.3">
      <c r="B54" s="16"/>
      <c r="C54" s="17"/>
      <c r="D54" s="17"/>
      <c r="E54" s="17"/>
      <c r="F54" s="17"/>
      <c r="G54" s="17"/>
      <c r="H54" s="17"/>
      <c r="I54" s="17"/>
      <c r="J54" s="18"/>
    </row>
    <row r="58" spans="2:10" x14ac:dyDescent="0.25">
      <c r="B58" s="171" t="s">
        <v>199</v>
      </c>
      <c r="C58" s="171"/>
      <c r="D58" s="171"/>
      <c r="E58" s="171"/>
      <c r="F58" s="171"/>
      <c r="G58" s="171"/>
      <c r="H58" s="171"/>
      <c r="I58" s="171"/>
      <c r="J58" s="171"/>
    </row>
  </sheetData>
  <mergeCells count="3">
    <mergeCell ref="B3:J3"/>
    <mergeCell ref="B4:J4"/>
    <mergeCell ref="B58:J58"/>
  </mergeCells>
  <conditionalFormatting sqref="C34">
    <cfRule type="expression" dxfId="1" priority="1">
      <formula>$C$28="Heat pump"</formula>
    </cfRule>
    <cfRule type="expression" dxfId="0" priority="2">
      <formula>$C$28="Gas / Propane"</formula>
    </cfRule>
  </conditionalFormatting>
  <dataValidations count="10">
    <dataValidation type="list" allowBlank="1" showInputMessage="1" showErrorMessage="1" sqref="C28" xr:uid="{7C7AC15B-2E95-49A3-913D-ED36457B18AB}">
      <formula1>"Gas / Propane, Heat pump"</formula1>
    </dataValidation>
    <dataValidation type="list" allowBlank="1" showInputMessage="1" showErrorMessage="1" sqref="C11" xr:uid="{278C69E0-E8BB-47FB-86A5-83047B6B1EE7}">
      <formula1>"1, 2, 3A, 3B, 3C, 4, 5, 6, 7"</formula1>
    </dataValidation>
    <dataValidation type="list" allowBlank="1" showInputMessage="1" showErrorMessage="1" sqref="C19" xr:uid="{C34BE596-D1CF-4E3B-9B9B-23BB935BDCFB}">
      <formula1>"not sure (use default), 3,4,5,6,7,8,12"</formula1>
    </dataValidation>
    <dataValidation type="list" allowBlank="1" showInputMessage="1" showErrorMessage="1" sqref="C32" xr:uid="{19488883-FAD9-44B5-BEEA-7A33889BA718}">
      <formula1>"not sure (use default), 78,80,82"</formula1>
    </dataValidation>
    <dataValidation type="list" allowBlank="1" showInputMessage="1" showErrorMessage="1" sqref="C30" xr:uid="{94FCF58B-E6A6-485A-A950-3A52945CAF51}">
      <formula1>"not sure (use default), yes, no"</formula1>
    </dataValidation>
    <dataValidation type="decimal" operator="lessThan" allowBlank="1" showInputMessage="1" showErrorMessage="1" sqref="C34" xr:uid="{D0C036C6-6BFD-4D50-B773-6ECB080480B5}">
      <formula1>8</formula1>
    </dataValidation>
    <dataValidation type="list" allowBlank="1" showInputMessage="1" showErrorMessage="1" sqref="C45" xr:uid="{3C4D48F7-3557-4BEE-8648-B6EEA9EA6CD5}">
      <formula1>"Yes, No"</formula1>
    </dataValidation>
    <dataValidation type="list" allowBlank="1" showInputMessage="1" showErrorMessage="1" sqref="C43" xr:uid="{5A0544EF-0267-4F87-834F-1B6D57BDFE30}">
      <formula1>"1, 1.5, 2, 2.5, 3"</formula1>
    </dataValidation>
    <dataValidation type="list" allowBlank="1" showInputMessage="1" showErrorMessage="1" sqref="C49" xr:uid="{02CD8931-4DE6-4FF3-B0BB-4FD7A23D2A74}">
      <formula1>"not sure (use default),1,2"</formula1>
    </dataValidation>
    <dataValidation allowBlank="1" showInputMessage="1" prompt="This value is calculated automatically. The user should only overwrite this value if the pump energy factor is provided by the manufacturer or identified within the ENERGY STAR database. " sqref="C51" xr:uid="{669EE1FA-2D51-49CC-885B-9923CEA30963}"/>
  </dataValidations>
  <pageMargins left="0.7" right="0.7" top="0.75" bottom="0.75" header="0.3" footer="0.3"/>
  <pageSetup orientation="portrait" horizontalDpi="90" verticalDpi="9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BCED90D-BC8D-4D43-B197-D3CB79107E30}">
          <x14:formula1>
            <xm:f>'pump assumptions &amp; calcs'!$B$20:$B$22</xm:f>
          </x14:formula1>
          <xm:sqref>C47:C49</xm:sqref>
        </x14:dataValidation>
        <x14:dataValidation type="list" allowBlank="1" showInputMessage="1" showErrorMessage="1" xr:uid="{0F85F1A9-3237-4E51-B657-17FF3264545A}">
          <x14:formula1>
            <xm:f>'pump assumptions &amp; calcs'!$B$45:$B$95</xm:f>
          </x14:formula1>
          <xm:sqref>C9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241-2D5F-4339-89A4-1A243987267C}">
  <sheetPr>
    <tabColor theme="7"/>
  </sheetPr>
  <dimension ref="A1:BA8774"/>
  <sheetViews>
    <sheetView workbookViewId="0">
      <selection activeCell="F16" sqref="F16"/>
    </sheetView>
  </sheetViews>
  <sheetFormatPr defaultRowHeight="15" x14ac:dyDescent="0.25"/>
  <cols>
    <col min="4" max="4" width="9.140625" customWidth="1"/>
  </cols>
  <sheetData>
    <row r="1" spans="1:4" x14ac:dyDescent="0.25">
      <c r="A1" s="232" t="s">
        <v>232</v>
      </c>
    </row>
    <row r="10" spans="1:4" x14ac:dyDescent="0.25">
      <c r="D10" s="140"/>
    </row>
    <row r="75" spans="50:50" x14ac:dyDescent="0.25">
      <c r="AX75" s="141"/>
    </row>
    <row r="76" spans="50:50" x14ac:dyDescent="0.25">
      <c r="AX76" s="141"/>
    </row>
    <row r="77" spans="50:50" x14ac:dyDescent="0.25">
      <c r="AX77" s="141"/>
    </row>
    <row r="80" spans="50:50" x14ac:dyDescent="0.25">
      <c r="AX80" s="141"/>
    </row>
    <row r="81" spans="50:50" x14ac:dyDescent="0.25">
      <c r="AX81" s="141"/>
    </row>
    <row r="82" spans="50:50" x14ac:dyDescent="0.25">
      <c r="AX82" s="141"/>
    </row>
    <row r="100" spans="50:50" x14ac:dyDescent="0.25">
      <c r="AX100" s="141"/>
    </row>
    <row r="105" spans="50:50" x14ac:dyDescent="0.25">
      <c r="AX105" s="141"/>
    </row>
    <row r="106" spans="50:50" x14ac:dyDescent="0.25">
      <c r="AX106" s="141"/>
    </row>
    <row r="124" spans="50:50" x14ac:dyDescent="0.25">
      <c r="AX124" s="141"/>
    </row>
    <row r="125" spans="50:50" x14ac:dyDescent="0.25">
      <c r="AX125" s="141"/>
    </row>
    <row r="126" spans="50:50" x14ac:dyDescent="0.25">
      <c r="AX126" s="141"/>
    </row>
    <row r="127" spans="50:50" x14ac:dyDescent="0.25">
      <c r="AX127" s="141"/>
    </row>
    <row r="128" spans="50:50" x14ac:dyDescent="0.25">
      <c r="AX128" s="141"/>
    </row>
    <row r="129" spans="50:50" x14ac:dyDescent="0.25">
      <c r="AX129" s="141"/>
    </row>
    <row r="130" spans="50:50" x14ac:dyDescent="0.25">
      <c r="AX130" s="141"/>
    </row>
    <row r="199" spans="50:50" x14ac:dyDescent="0.25">
      <c r="AX199" s="141"/>
    </row>
    <row r="200" spans="50:50" x14ac:dyDescent="0.25">
      <c r="AX200" s="141"/>
    </row>
    <row r="244" spans="50:50" x14ac:dyDescent="0.25">
      <c r="AX244" s="141"/>
    </row>
    <row r="245" spans="50:50" x14ac:dyDescent="0.25">
      <c r="AX245" s="141"/>
    </row>
    <row r="246" spans="50:50" x14ac:dyDescent="0.25">
      <c r="AX246" s="141"/>
    </row>
    <row r="247" spans="50:50" x14ac:dyDescent="0.25">
      <c r="AX247" s="141"/>
    </row>
    <row r="248" spans="50:50" x14ac:dyDescent="0.25">
      <c r="AX248" s="141"/>
    </row>
    <row r="249" spans="50:50" x14ac:dyDescent="0.25">
      <c r="AX249" s="141"/>
    </row>
    <row r="508" spans="50:50" x14ac:dyDescent="0.25">
      <c r="AX508" s="141"/>
    </row>
    <row r="509" spans="50:50" x14ac:dyDescent="0.25">
      <c r="AX509" s="141"/>
    </row>
    <row r="510" spans="50:50" x14ac:dyDescent="0.25">
      <c r="AX510" s="141"/>
    </row>
    <row r="511" spans="50:50" x14ac:dyDescent="0.25">
      <c r="AX511" s="141"/>
    </row>
    <row r="512" spans="50:50" x14ac:dyDescent="0.25">
      <c r="AX512" s="141"/>
    </row>
    <row r="513" spans="50:50" x14ac:dyDescent="0.25">
      <c r="AX513" s="141"/>
    </row>
    <row r="514" spans="50:50" x14ac:dyDescent="0.25">
      <c r="AX514" s="141"/>
    </row>
    <row r="532" spans="50:50" x14ac:dyDescent="0.25">
      <c r="AX532" s="141"/>
    </row>
    <row r="533" spans="50:50" x14ac:dyDescent="0.25">
      <c r="AX533" s="141"/>
    </row>
    <row r="536" spans="50:50" x14ac:dyDescent="0.25">
      <c r="AX536" s="141"/>
    </row>
    <row r="537" spans="50:50" x14ac:dyDescent="0.25">
      <c r="AX537" s="141"/>
    </row>
    <row r="538" spans="50:50" x14ac:dyDescent="0.25">
      <c r="AX538" s="141"/>
    </row>
    <row r="557" spans="50:50" x14ac:dyDescent="0.25">
      <c r="AX557" s="141"/>
    </row>
    <row r="558" spans="50:50" x14ac:dyDescent="0.25">
      <c r="AX558" s="141"/>
    </row>
    <row r="559" spans="50:50" x14ac:dyDescent="0.25">
      <c r="AX559" s="141"/>
    </row>
    <row r="560" spans="50:50" x14ac:dyDescent="0.25">
      <c r="AX560" s="141"/>
    </row>
    <row r="561" spans="50:50" x14ac:dyDescent="0.25">
      <c r="AX561" s="141"/>
    </row>
    <row r="562" spans="50:50" x14ac:dyDescent="0.25">
      <c r="AX562" s="141"/>
    </row>
    <row r="603" spans="50:50" x14ac:dyDescent="0.25">
      <c r="AX603" s="141"/>
    </row>
    <row r="604" spans="50:50" x14ac:dyDescent="0.25">
      <c r="AX604" s="141"/>
    </row>
    <row r="605" spans="50:50" x14ac:dyDescent="0.25">
      <c r="AX605" s="141"/>
    </row>
    <row r="606" spans="50:50" x14ac:dyDescent="0.25">
      <c r="AX606" s="141"/>
    </row>
    <row r="607" spans="50:50" x14ac:dyDescent="0.25">
      <c r="AX607" s="141"/>
    </row>
    <row r="608" spans="50:50" x14ac:dyDescent="0.25">
      <c r="AX608" s="141"/>
    </row>
    <row r="609" spans="50:50" x14ac:dyDescent="0.25">
      <c r="AX609" s="141"/>
    </row>
    <row r="610" spans="50:50" x14ac:dyDescent="0.25">
      <c r="AX610" s="141"/>
    </row>
    <row r="611" spans="50:50" x14ac:dyDescent="0.25">
      <c r="AX611" s="141"/>
    </row>
    <row r="701" spans="50:50" x14ac:dyDescent="0.25">
      <c r="AX701" s="141"/>
    </row>
    <row r="702" spans="50:50" x14ac:dyDescent="0.25">
      <c r="AX702" s="141"/>
    </row>
    <row r="703" spans="50:50" x14ac:dyDescent="0.25">
      <c r="AX703" s="141"/>
    </row>
    <row r="704" spans="50:50" x14ac:dyDescent="0.25">
      <c r="AX704" s="141"/>
    </row>
    <row r="705" spans="50:50" x14ac:dyDescent="0.25">
      <c r="AX705" s="141"/>
    </row>
    <row r="706" spans="50:50" x14ac:dyDescent="0.25">
      <c r="AX706" s="141"/>
    </row>
    <row r="724" spans="50:50" x14ac:dyDescent="0.25">
      <c r="AX724" s="141"/>
    </row>
    <row r="725" spans="50:50" x14ac:dyDescent="0.25">
      <c r="AX725" s="141"/>
    </row>
    <row r="726" spans="50:50" x14ac:dyDescent="0.25">
      <c r="AX726" s="141"/>
    </row>
    <row r="727" spans="50:50" x14ac:dyDescent="0.25">
      <c r="AX727" s="141"/>
    </row>
    <row r="728" spans="50:50" x14ac:dyDescent="0.25">
      <c r="AX728" s="141"/>
    </row>
    <row r="729" spans="50:50" x14ac:dyDescent="0.25">
      <c r="AX729" s="141"/>
    </row>
    <row r="730" spans="50:50" x14ac:dyDescent="0.25">
      <c r="AX730" s="141"/>
    </row>
    <row r="747" spans="50:50" x14ac:dyDescent="0.25">
      <c r="AX747" s="141"/>
    </row>
    <row r="755" spans="50:50" x14ac:dyDescent="0.25">
      <c r="AX755" s="141"/>
    </row>
    <row r="772" spans="50:50" x14ac:dyDescent="0.25">
      <c r="AX772" s="141"/>
    </row>
    <row r="773" spans="50:50" x14ac:dyDescent="0.25">
      <c r="AX773" s="141"/>
    </row>
    <row r="774" spans="50:50" x14ac:dyDescent="0.25">
      <c r="AX774" s="141"/>
    </row>
    <row r="775" spans="50:50" x14ac:dyDescent="0.25">
      <c r="AX775" s="141"/>
    </row>
    <row r="776" spans="50:50" x14ac:dyDescent="0.25">
      <c r="AX776" s="141"/>
    </row>
    <row r="777" spans="50:50" x14ac:dyDescent="0.25">
      <c r="AX777" s="141"/>
    </row>
    <row r="844" spans="50:50" x14ac:dyDescent="0.25">
      <c r="AX844" s="141"/>
    </row>
    <row r="851" spans="50:50" x14ac:dyDescent="0.25">
      <c r="AX851" s="141"/>
    </row>
    <row r="867" spans="50:50" x14ac:dyDescent="0.25">
      <c r="AX867" s="141"/>
    </row>
    <row r="868" spans="50:50" x14ac:dyDescent="0.25">
      <c r="AX868" s="141"/>
    </row>
    <row r="869" spans="50:50" x14ac:dyDescent="0.25">
      <c r="AX869" s="141"/>
    </row>
    <row r="871" spans="50:50" x14ac:dyDescent="0.25">
      <c r="AX871" s="141"/>
    </row>
    <row r="872" spans="50:50" x14ac:dyDescent="0.25">
      <c r="AX872" s="141"/>
    </row>
    <row r="873" spans="50:50" x14ac:dyDescent="0.25">
      <c r="AX873" s="141"/>
    </row>
    <row r="874" spans="50:50" x14ac:dyDescent="0.25">
      <c r="AX874" s="141"/>
    </row>
    <row r="875" spans="50:50" x14ac:dyDescent="0.25">
      <c r="AX875" s="141"/>
    </row>
    <row r="892" spans="50:50" x14ac:dyDescent="0.25">
      <c r="AX892" s="141"/>
    </row>
    <row r="893" spans="50:50" x14ac:dyDescent="0.25">
      <c r="AX893" s="141"/>
    </row>
    <row r="894" spans="50:50" x14ac:dyDescent="0.25">
      <c r="AX894" s="141"/>
    </row>
    <row r="895" spans="50:50" x14ac:dyDescent="0.25">
      <c r="AX895" s="141"/>
    </row>
    <row r="896" spans="50:50" x14ac:dyDescent="0.25">
      <c r="AX896" s="141"/>
    </row>
    <row r="897" spans="50:50" x14ac:dyDescent="0.25">
      <c r="AX897" s="141"/>
    </row>
    <row r="898" spans="50:50" x14ac:dyDescent="0.25">
      <c r="AX898" s="141"/>
    </row>
    <row r="915" spans="50:50" x14ac:dyDescent="0.25">
      <c r="AX915" s="141"/>
    </row>
    <row r="923" spans="50:50" x14ac:dyDescent="0.25">
      <c r="AX923" s="141"/>
    </row>
    <row r="939" spans="50:50" x14ac:dyDescent="0.25">
      <c r="AX939" s="141"/>
    </row>
    <row r="946" spans="5:50" x14ac:dyDescent="0.25">
      <c r="E946" s="141"/>
    </row>
    <row r="947" spans="5:50" x14ac:dyDescent="0.25">
      <c r="AX947" s="141"/>
    </row>
    <row r="963" spans="50:50" x14ac:dyDescent="0.25">
      <c r="AX963" s="141"/>
    </row>
    <row r="971" spans="50:50" x14ac:dyDescent="0.25">
      <c r="AX971" s="141"/>
    </row>
    <row r="988" spans="50:50" x14ac:dyDescent="0.25">
      <c r="AX988" s="141"/>
    </row>
    <row r="989" spans="50:50" x14ac:dyDescent="0.25">
      <c r="AX989" s="141"/>
    </row>
    <row r="993" spans="50:50" x14ac:dyDescent="0.25">
      <c r="AX993" s="141"/>
    </row>
    <row r="994" spans="50:50" x14ac:dyDescent="0.25">
      <c r="AX994" s="141"/>
    </row>
    <row r="995" spans="50:50" x14ac:dyDescent="0.25">
      <c r="AX995" s="141"/>
    </row>
    <row r="1012" spans="50:50" x14ac:dyDescent="0.25">
      <c r="AX1012" s="141"/>
    </row>
    <row r="1013" spans="50:50" x14ac:dyDescent="0.25">
      <c r="AX1013" s="141"/>
    </row>
    <row r="1014" spans="50:50" x14ac:dyDescent="0.25">
      <c r="AX1014" s="141"/>
    </row>
    <row r="1015" spans="50:50" x14ac:dyDescent="0.25">
      <c r="AX1015" s="141"/>
    </row>
    <row r="1016" spans="50:50" x14ac:dyDescent="0.25">
      <c r="AX1016" s="141"/>
    </row>
    <row r="1017" spans="50:50" x14ac:dyDescent="0.25">
      <c r="AX1017" s="141"/>
    </row>
    <row r="1018" spans="50:50" x14ac:dyDescent="0.25">
      <c r="AX1018" s="141"/>
    </row>
    <row r="1035" spans="50:50" x14ac:dyDescent="0.25">
      <c r="AX1035" s="141"/>
    </row>
    <row r="1036" spans="50:50" x14ac:dyDescent="0.25">
      <c r="AX1036" s="141"/>
    </row>
    <row r="1042" spans="50:50" x14ac:dyDescent="0.25">
      <c r="AX1042" s="141"/>
    </row>
    <row r="1043" spans="50:50" x14ac:dyDescent="0.25">
      <c r="AX1043" s="141"/>
    </row>
    <row r="1060" spans="5:50" x14ac:dyDescent="0.25">
      <c r="AX1060" s="141"/>
    </row>
    <row r="1063" spans="5:50" x14ac:dyDescent="0.25">
      <c r="E1063" s="141"/>
    </row>
    <row r="1067" spans="5:50" x14ac:dyDescent="0.25">
      <c r="AX1067" s="141"/>
    </row>
    <row r="1083" spans="50:50" x14ac:dyDescent="0.25">
      <c r="AX1083" s="141"/>
    </row>
    <row r="1084" spans="50:50" x14ac:dyDescent="0.25">
      <c r="AX1084" s="141"/>
    </row>
    <row r="1086" spans="50:50" x14ac:dyDescent="0.25">
      <c r="AX1086" s="141"/>
    </row>
    <row r="1090" spans="50:50" x14ac:dyDescent="0.25">
      <c r="AX1090" s="141"/>
    </row>
    <row r="1091" spans="50:50" x14ac:dyDescent="0.25">
      <c r="AX1091" s="141"/>
    </row>
    <row r="1107" spans="5:50" x14ac:dyDescent="0.25">
      <c r="AX1107" s="141"/>
    </row>
    <row r="1108" spans="5:50" x14ac:dyDescent="0.25">
      <c r="AX1108" s="141"/>
    </row>
    <row r="1114" spans="5:50" x14ac:dyDescent="0.25">
      <c r="E1114" s="141"/>
      <c r="AX1114" s="141"/>
    </row>
    <row r="1115" spans="5:50" x14ac:dyDescent="0.25">
      <c r="AX1115" s="141"/>
    </row>
    <row r="1131" spans="50:50" x14ac:dyDescent="0.25">
      <c r="AX1131" s="141"/>
    </row>
    <row r="1133" spans="50:50" x14ac:dyDescent="0.25">
      <c r="AX1133" s="141"/>
    </row>
    <row r="1139" spans="50:50" x14ac:dyDescent="0.25">
      <c r="AX1139" s="141"/>
    </row>
    <row r="1155" spans="50:50" x14ac:dyDescent="0.25">
      <c r="AX1155" s="141"/>
    </row>
    <row r="1156" spans="50:50" x14ac:dyDescent="0.25">
      <c r="AX1156" s="141"/>
    </row>
    <row r="1162" spans="50:50" x14ac:dyDescent="0.25">
      <c r="AX1162" s="141"/>
    </row>
    <row r="1163" spans="50:50" x14ac:dyDescent="0.25">
      <c r="AX1163" s="141"/>
    </row>
    <row r="1180" spans="50:50" x14ac:dyDescent="0.25">
      <c r="AX1180" s="141"/>
    </row>
    <row r="1181" spans="50:50" x14ac:dyDescent="0.25">
      <c r="AX1181" s="141"/>
    </row>
    <row r="1182" spans="50:50" x14ac:dyDescent="0.25">
      <c r="AX1182" s="141"/>
    </row>
    <row r="1183" spans="50:50" x14ac:dyDescent="0.25">
      <c r="AX1183" s="141"/>
    </row>
    <row r="1184" spans="50:50" x14ac:dyDescent="0.25">
      <c r="AX1184" s="141"/>
    </row>
    <row r="1185" spans="50:50" x14ac:dyDescent="0.25">
      <c r="AX1185" s="141"/>
    </row>
    <row r="1186" spans="50:50" x14ac:dyDescent="0.25">
      <c r="AX1186" s="141"/>
    </row>
    <row r="1347" spans="50:50" x14ac:dyDescent="0.25">
      <c r="AX1347" s="141"/>
    </row>
    <row r="1348" spans="50:50" x14ac:dyDescent="0.25">
      <c r="AX1348" s="141"/>
    </row>
    <row r="1349" spans="50:50" x14ac:dyDescent="0.25">
      <c r="AX1349" s="141"/>
    </row>
    <row r="1350" spans="50:50" x14ac:dyDescent="0.25">
      <c r="AX1350" s="141"/>
    </row>
    <row r="1351" spans="50:50" x14ac:dyDescent="0.25">
      <c r="AX1351" s="141"/>
    </row>
    <row r="1352" spans="50:50" x14ac:dyDescent="0.25">
      <c r="AX1352" s="141"/>
    </row>
    <row r="1353" spans="50:50" x14ac:dyDescent="0.25">
      <c r="AX1353" s="141"/>
    </row>
    <row r="1354" spans="50:50" x14ac:dyDescent="0.25">
      <c r="AX1354" s="141"/>
    </row>
    <row r="1355" spans="50:50" x14ac:dyDescent="0.25">
      <c r="AX1355" s="141"/>
    </row>
    <row r="1371" spans="50:50" x14ac:dyDescent="0.25">
      <c r="AX1371" s="141"/>
    </row>
    <row r="1372" spans="50:50" x14ac:dyDescent="0.25">
      <c r="AX1372" s="141"/>
    </row>
    <row r="1374" spans="50:50" x14ac:dyDescent="0.25">
      <c r="AX1374" s="141"/>
    </row>
    <row r="1377" spans="50:50" x14ac:dyDescent="0.25">
      <c r="AX1377" s="141"/>
    </row>
    <row r="1378" spans="50:50" x14ac:dyDescent="0.25">
      <c r="AX1378" s="141"/>
    </row>
    <row r="1379" spans="50:50" x14ac:dyDescent="0.25">
      <c r="AX1379" s="141"/>
    </row>
    <row r="1395" spans="5:50" x14ac:dyDescent="0.25">
      <c r="AX1395" s="141"/>
    </row>
    <row r="1396" spans="5:50" x14ac:dyDescent="0.25">
      <c r="AX1396" s="141"/>
    </row>
    <row r="1397" spans="5:50" x14ac:dyDescent="0.25">
      <c r="AX1397" s="141"/>
    </row>
    <row r="1398" spans="5:50" x14ac:dyDescent="0.25">
      <c r="E1398" s="141"/>
      <c r="AX1398" s="141"/>
    </row>
    <row r="1399" spans="5:50" x14ac:dyDescent="0.25">
      <c r="AX1399" s="141"/>
    </row>
    <row r="1400" spans="5:50" x14ac:dyDescent="0.25">
      <c r="AX1400" s="141"/>
    </row>
    <row r="1401" spans="5:50" x14ac:dyDescent="0.25">
      <c r="AX1401" s="141"/>
    </row>
    <row r="1402" spans="5:50" x14ac:dyDescent="0.25">
      <c r="AX1402" s="141"/>
    </row>
    <row r="1403" spans="5:50" x14ac:dyDescent="0.25">
      <c r="AX1403" s="141"/>
    </row>
    <row r="1419" spans="50:50" x14ac:dyDescent="0.25">
      <c r="AX1419" s="141"/>
    </row>
    <row r="1420" spans="50:50" x14ac:dyDescent="0.25">
      <c r="AX1420" s="141"/>
    </row>
    <row r="1421" spans="50:50" x14ac:dyDescent="0.25">
      <c r="AX1421" s="141"/>
    </row>
    <row r="1422" spans="50:50" x14ac:dyDescent="0.25">
      <c r="AX1422" s="141"/>
    </row>
    <row r="1423" spans="50:50" x14ac:dyDescent="0.25">
      <c r="AX1423" s="141"/>
    </row>
    <row r="1424" spans="50:50" x14ac:dyDescent="0.25">
      <c r="AX1424" s="141"/>
    </row>
    <row r="1425" spans="50:50" x14ac:dyDescent="0.25">
      <c r="AX1425" s="141"/>
    </row>
    <row r="1426" spans="50:50" x14ac:dyDescent="0.25">
      <c r="AX1426" s="141"/>
    </row>
    <row r="1427" spans="50:50" x14ac:dyDescent="0.25">
      <c r="AX1427" s="141"/>
    </row>
    <row r="1445" spans="50:50" x14ac:dyDescent="0.25">
      <c r="AX1445" s="141"/>
    </row>
    <row r="1446" spans="50:50" x14ac:dyDescent="0.25">
      <c r="AX1446" s="141"/>
    </row>
    <row r="1447" spans="50:50" x14ac:dyDescent="0.25">
      <c r="AX1447" s="141"/>
    </row>
    <row r="1448" spans="50:50" x14ac:dyDescent="0.25">
      <c r="AX1448" s="141"/>
    </row>
    <row r="1492" spans="50:50" x14ac:dyDescent="0.25">
      <c r="AX1492" s="141"/>
    </row>
    <row r="1493" spans="50:50" x14ac:dyDescent="0.25">
      <c r="AX1493" s="141"/>
    </row>
    <row r="1494" spans="50:50" x14ac:dyDescent="0.25">
      <c r="AX1494" s="141"/>
    </row>
    <row r="1495" spans="50:50" x14ac:dyDescent="0.25">
      <c r="AX1495" s="141"/>
    </row>
    <row r="1496" spans="50:50" x14ac:dyDescent="0.25">
      <c r="AX1496" s="141"/>
    </row>
    <row r="1497" spans="50:50" x14ac:dyDescent="0.25">
      <c r="AX1497" s="141"/>
    </row>
    <row r="1498" spans="50:50" x14ac:dyDescent="0.25">
      <c r="AX1498" s="141"/>
    </row>
    <row r="1516" spans="50:50" x14ac:dyDescent="0.25">
      <c r="AX1516" s="141"/>
    </row>
    <row r="1517" spans="50:50" x14ac:dyDescent="0.25">
      <c r="AX1517" s="141"/>
    </row>
    <row r="1518" spans="50:50" x14ac:dyDescent="0.25">
      <c r="AX1518" s="141"/>
    </row>
    <row r="1519" spans="50:50" x14ac:dyDescent="0.25">
      <c r="AX1519" s="141"/>
    </row>
    <row r="1520" spans="50:50" x14ac:dyDescent="0.25">
      <c r="AX1520" s="141"/>
    </row>
    <row r="1521" spans="50:50" x14ac:dyDescent="0.25">
      <c r="AX1521" s="141"/>
    </row>
    <row r="1522" spans="50:50" x14ac:dyDescent="0.25">
      <c r="AX1522" s="141"/>
    </row>
    <row r="1539" spans="50:50" x14ac:dyDescent="0.25">
      <c r="AX1539" s="141"/>
    </row>
    <row r="1540" spans="50:50" x14ac:dyDescent="0.25">
      <c r="AX1540" s="141"/>
    </row>
    <row r="1541" spans="50:50" x14ac:dyDescent="0.25">
      <c r="AX1541" s="141"/>
    </row>
    <row r="1542" spans="50:50" x14ac:dyDescent="0.25">
      <c r="AX1542" s="141"/>
    </row>
    <row r="1543" spans="50:50" x14ac:dyDescent="0.25">
      <c r="AX1543" s="141"/>
    </row>
    <row r="1544" spans="50:50" x14ac:dyDescent="0.25">
      <c r="AX1544" s="141"/>
    </row>
    <row r="1545" spans="50:50" x14ac:dyDescent="0.25">
      <c r="AX1545" s="141"/>
    </row>
    <row r="1546" spans="50:50" x14ac:dyDescent="0.25">
      <c r="AX1546" s="141"/>
    </row>
    <row r="1563" spans="50:50" x14ac:dyDescent="0.25">
      <c r="AX1563" s="141"/>
    </row>
    <row r="1571" spans="50:50" x14ac:dyDescent="0.25">
      <c r="AX1571" s="141"/>
    </row>
    <row r="1585" spans="50:53" x14ac:dyDescent="0.25">
      <c r="BA1585" s="141"/>
    </row>
    <row r="1587" spans="50:53" x14ac:dyDescent="0.25">
      <c r="AX1587" s="141"/>
    </row>
    <row r="1595" spans="50:53" x14ac:dyDescent="0.25">
      <c r="AX1595" s="141"/>
    </row>
    <row r="1610" spans="50:50" x14ac:dyDescent="0.25">
      <c r="AX1610" s="141"/>
    </row>
    <row r="1619" spans="50:50" x14ac:dyDescent="0.25">
      <c r="AX1619" s="141"/>
    </row>
    <row r="1635" spans="50:50" x14ac:dyDescent="0.25">
      <c r="AX1635" s="141"/>
    </row>
    <row r="1636" spans="50:50" x14ac:dyDescent="0.25">
      <c r="AX1636" s="141"/>
    </row>
    <row r="1637" spans="50:50" x14ac:dyDescent="0.25">
      <c r="AX1637" s="141"/>
    </row>
    <row r="1638" spans="50:50" x14ac:dyDescent="0.25">
      <c r="AX1638" s="141"/>
    </row>
    <row r="1639" spans="50:50" x14ac:dyDescent="0.25">
      <c r="AX1639" s="141"/>
    </row>
    <row r="1640" spans="50:50" x14ac:dyDescent="0.25">
      <c r="AX1640" s="141"/>
    </row>
    <row r="1641" spans="50:50" x14ac:dyDescent="0.25">
      <c r="AX1641" s="141"/>
    </row>
    <row r="1642" spans="50:50" x14ac:dyDescent="0.25">
      <c r="AX1642" s="141"/>
    </row>
    <row r="1659" spans="50:50" x14ac:dyDescent="0.25">
      <c r="AX1659" s="141"/>
    </row>
    <row r="1674" spans="50:50" x14ac:dyDescent="0.25">
      <c r="AX1674" s="141"/>
    </row>
    <row r="1675" spans="50:50" x14ac:dyDescent="0.25">
      <c r="AX1675" s="141"/>
    </row>
    <row r="1676" spans="50:50" x14ac:dyDescent="0.25">
      <c r="AX1676" s="141"/>
    </row>
    <row r="1677" spans="50:50" x14ac:dyDescent="0.25">
      <c r="AX1677" s="141"/>
    </row>
    <row r="1678" spans="50:50" x14ac:dyDescent="0.25">
      <c r="AX1678" s="141"/>
    </row>
    <row r="1679" spans="50:50" x14ac:dyDescent="0.25">
      <c r="AX1679" s="141"/>
    </row>
    <row r="1682" spans="50:50" x14ac:dyDescent="0.25">
      <c r="AX1682" s="141"/>
    </row>
    <row r="1698" spans="50:50" x14ac:dyDescent="0.25">
      <c r="AX1698" s="141"/>
    </row>
    <row r="1706" spans="50:50" x14ac:dyDescent="0.25">
      <c r="AX1706" s="141"/>
    </row>
    <row r="1715" spans="50:50" x14ac:dyDescent="0.25">
      <c r="AX1715" s="141"/>
    </row>
    <row r="1731" spans="50:50" x14ac:dyDescent="0.25">
      <c r="AX1731" s="141"/>
    </row>
    <row r="1739" spans="50:50" x14ac:dyDescent="0.25">
      <c r="AX1739" s="141"/>
    </row>
    <row r="1755" spans="50:50" x14ac:dyDescent="0.25">
      <c r="AX1755" s="141"/>
    </row>
    <row r="1763" spans="50:50" x14ac:dyDescent="0.25">
      <c r="AX1763" s="141"/>
    </row>
    <row r="1778" spans="50:50" x14ac:dyDescent="0.25">
      <c r="AX1778" s="141"/>
    </row>
    <row r="1787" spans="50:50" x14ac:dyDescent="0.25">
      <c r="AX1787" s="141"/>
    </row>
    <row r="1802" spans="50:50" x14ac:dyDescent="0.25">
      <c r="AX1802" s="141"/>
    </row>
    <row r="1826" spans="6:50" x14ac:dyDescent="0.25">
      <c r="AX1826" s="141"/>
    </row>
    <row r="1835" spans="6:50" x14ac:dyDescent="0.25">
      <c r="F1835" s="141"/>
    </row>
    <row r="1836" spans="6:50" x14ac:dyDescent="0.25">
      <c r="AX1836" s="141"/>
    </row>
    <row r="1837" spans="6:50" x14ac:dyDescent="0.25">
      <c r="AX1837" s="141"/>
    </row>
    <row r="1838" spans="6:50" x14ac:dyDescent="0.25">
      <c r="AX1838" s="141"/>
    </row>
    <row r="1839" spans="6:50" x14ac:dyDescent="0.25">
      <c r="AX1839" s="141"/>
    </row>
    <row r="1840" spans="6:50" x14ac:dyDescent="0.25">
      <c r="AX1840" s="141"/>
    </row>
    <row r="1841" spans="50:50" x14ac:dyDescent="0.25">
      <c r="AX1841" s="141"/>
    </row>
    <row r="1842" spans="50:50" x14ac:dyDescent="0.25">
      <c r="AX1842" s="141"/>
    </row>
    <row r="1850" spans="50:50" x14ac:dyDescent="0.25">
      <c r="AX1850" s="141"/>
    </row>
    <row r="1859" spans="50:50" x14ac:dyDescent="0.25">
      <c r="AX1859" s="141"/>
    </row>
    <row r="1874" spans="50:50" x14ac:dyDescent="0.25">
      <c r="AX1874" s="141"/>
    </row>
    <row r="1875" spans="50:50" x14ac:dyDescent="0.25">
      <c r="AX1875" s="141"/>
    </row>
    <row r="1883" spans="50:50" x14ac:dyDescent="0.25">
      <c r="AX1883" s="141"/>
    </row>
    <row r="1899" spans="50:50" x14ac:dyDescent="0.25">
      <c r="AX1899" s="141"/>
    </row>
    <row r="1906" spans="50:50" x14ac:dyDescent="0.25">
      <c r="AX1906" s="141"/>
    </row>
    <row r="1907" spans="50:50" x14ac:dyDescent="0.25">
      <c r="AX1907" s="141"/>
    </row>
    <row r="1923" spans="50:50" x14ac:dyDescent="0.25">
      <c r="AX1923" s="141"/>
    </row>
    <row r="1930" spans="50:50" x14ac:dyDescent="0.25">
      <c r="AX1930" s="141"/>
    </row>
    <row r="1931" spans="50:50" x14ac:dyDescent="0.25">
      <c r="AX1931" s="141"/>
    </row>
    <row r="1946" spans="50:50" x14ac:dyDescent="0.25">
      <c r="AX1946" s="141"/>
    </row>
    <row r="1947" spans="50:50" x14ac:dyDescent="0.25">
      <c r="AX1947" s="141"/>
    </row>
    <row r="1955" spans="50:50" x14ac:dyDescent="0.25">
      <c r="AX1955" s="141"/>
    </row>
    <row r="1975" spans="50:50" x14ac:dyDescent="0.25">
      <c r="AX1975" s="141"/>
    </row>
    <row r="1977" spans="50:50" x14ac:dyDescent="0.25">
      <c r="AX1977" s="141"/>
    </row>
    <row r="1979" spans="50:50" x14ac:dyDescent="0.25">
      <c r="AX1979" s="141"/>
    </row>
    <row r="1995" spans="50:50" x14ac:dyDescent="0.25">
      <c r="AX1995" s="141"/>
    </row>
    <row r="2003" spans="50:50" x14ac:dyDescent="0.25">
      <c r="AX2003" s="141"/>
    </row>
    <row r="2018" spans="50:50" x14ac:dyDescent="0.25">
      <c r="AX2018" s="141"/>
    </row>
    <row r="2019" spans="50:50" x14ac:dyDescent="0.25">
      <c r="AX2019" s="141"/>
    </row>
    <row r="2020" spans="50:50" x14ac:dyDescent="0.25">
      <c r="AX2020" s="141"/>
    </row>
    <row r="2027" spans="50:50" x14ac:dyDescent="0.25">
      <c r="AX2027" s="141"/>
    </row>
    <row r="2042" spans="50:50" x14ac:dyDescent="0.25">
      <c r="AX2042" s="141"/>
    </row>
    <row r="2043" spans="50:50" x14ac:dyDescent="0.25">
      <c r="AX2043" s="141"/>
    </row>
    <row r="2044" spans="50:50" x14ac:dyDescent="0.25">
      <c r="AX2044" s="141"/>
    </row>
    <row r="2045" spans="50:50" x14ac:dyDescent="0.25">
      <c r="AX2045" s="141"/>
    </row>
    <row r="2046" spans="50:50" x14ac:dyDescent="0.25">
      <c r="AX2046" s="141"/>
    </row>
    <row r="2047" spans="50:50" x14ac:dyDescent="0.25">
      <c r="AX2047" s="141"/>
    </row>
    <row r="2048" spans="50:50" x14ac:dyDescent="0.25">
      <c r="AX2048" s="141"/>
    </row>
    <row r="2049" spans="50:50" x14ac:dyDescent="0.25">
      <c r="AX2049" s="141"/>
    </row>
    <row r="2050" spans="50:50" x14ac:dyDescent="0.25">
      <c r="AX2050" s="141"/>
    </row>
    <row r="2051" spans="50:50" x14ac:dyDescent="0.25">
      <c r="AX2051" s="141"/>
    </row>
    <row r="2067" spans="50:50" x14ac:dyDescent="0.25">
      <c r="AX2067" s="141"/>
    </row>
    <row r="2075" spans="50:50" x14ac:dyDescent="0.25">
      <c r="AX2075" s="141"/>
    </row>
    <row r="2090" spans="50:50" x14ac:dyDescent="0.25">
      <c r="AX2090" s="141"/>
    </row>
    <row r="2099" spans="50:50" x14ac:dyDescent="0.25">
      <c r="AX2099" s="141"/>
    </row>
    <row r="2114" spans="50:50" x14ac:dyDescent="0.25">
      <c r="AX2114" s="141"/>
    </row>
    <row r="2115" spans="50:50" x14ac:dyDescent="0.25">
      <c r="AX2115" s="141"/>
    </row>
    <row r="2122" spans="50:50" x14ac:dyDescent="0.25">
      <c r="AX2122" s="141"/>
    </row>
    <row r="2123" spans="50:50" x14ac:dyDescent="0.25">
      <c r="AX2123" s="141"/>
    </row>
    <row r="2138" spans="50:50" x14ac:dyDescent="0.25">
      <c r="AX2138" s="141"/>
    </row>
    <row r="2148" spans="50:50" x14ac:dyDescent="0.25">
      <c r="AX2148" s="141"/>
    </row>
    <row r="2162" spans="50:50" x14ac:dyDescent="0.25">
      <c r="AX2162" s="141"/>
    </row>
    <row r="2163" spans="50:50" x14ac:dyDescent="0.25">
      <c r="AX2163" s="141"/>
    </row>
    <row r="2164" spans="50:50" x14ac:dyDescent="0.25">
      <c r="AX2164" s="141"/>
    </row>
    <row r="2165" spans="50:50" x14ac:dyDescent="0.25">
      <c r="AX2165" s="141"/>
    </row>
    <row r="2166" spans="50:50" x14ac:dyDescent="0.25">
      <c r="AX2166" s="141"/>
    </row>
    <row r="2167" spans="50:50" x14ac:dyDescent="0.25">
      <c r="AX2167" s="141"/>
    </row>
    <row r="2168" spans="50:50" x14ac:dyDescent="0.25">
      <c r="AX2168" s="141"/>
    </row>
    <row r="2169" spans="50:50" x14ac:dyDescent="0.25">
      <c r="AX2169" s="141"/>
    </row>
    <row r="2170" spans="50:50" x14ac:dyDescent="0.25">
      <c r="AX2170" s="141"/>
    </row>
    <row r="2171" spans="50:50" x14ac:dyDescent="0.25">
      <c r="AX2171" s="141"/>
    </row>
    <row r="2179" spans="50:50" x14ac:dyDescent="0.25">
      <c r="AX2179" s="141"/>
    </row>
    <row r="2180" spans="50:50" x14ac:dyDescent="0.25">
      <c r="AX2180" s="141"/>
    </row>
    <row r="2181" spans="50:50" x14ac:dyDescent="0.25">
      <c r="AX2181" s="141"/>
    </row>
    <row r="2182" spans="50:50" x14ac:dyDescent="0.25">
      <c r="AX2182" s="141"/>
    </row>
    <row r="2183" spans="50:50" x14ac:dyDescent="0.25">
      <c r="AX2183" s="141"/>
    </row>
    <row r="2184" spans="50:50" x14ac:dyDescent="0.25">
      <c r="AX2184" s="141"/>
    </row>
    <row r="2185" spans="50:50" x14ac:dyDescent="0.25">
      <c r="AX2185" s="141"/>
    </row>
    <row r="2186" spans="50:50" x14ac:dyDescent="0.25">
      <c r="AX2186" s="141"/>
    </row>
    <row r="2187" spans="50:50" x14ac:dyDescent="0.25">
      <c r="AX2187" s="141"/>
    </row>
    <row r="2195" spans="50:50" x14ac:dyDescent="0.25">
      <c r="AX2195" s="141"/>
    </row>
    <row r="2201" spans="50:50" x14ac:dyDescent="0.25">
      <c r="AX2201" s="141"/>
    </row>
    <row r="2202" spans="50:50" x14ac:dyDescent="0.25">
      <c r="AX2202" s="141"/>
    </row>
    <row r="2203" spans="50:50" x14ac:dyDescent="0.25">
      <c r="AX2203" s="141"/>
    </row>
    <row r="2204" spans="50:50" x14ac:dyDescent="0.25">
      <c r="AX2204" s="141"/>
    </row>
    <row r="2205" spans="50:50" x14ac:dyDescent="0.25">
      <c r="AX2205" s="141"/>
    </row>
    <row r="2206" spans="50:50" x14ac:dyDescent="0.25">
      <c r="AX2206" s="141"/>
    </row>
    <row r="2207" spans="50:50" x14ac:dyDescent="0.25">
      <c r="AX2207" s="141"/>
    </row>
    <row r="2208" spans="50:50" x14ac:dyDescent="0.25">
      <c r="AX2208" s="141"/>
    </row>
    <row r="2209" spans="50:50" x14ac:dyDescent="0.25">
      <c r="AX2209" s="141"/>
    </row>
    <row r="2210" spans="50:50" x14ac:dyDescent="0.25">
      <c r="AX2210" s="141"/>
    </row>
    <row r="2219" spans="50:50" x14ac:dyDescent="0.25">
      <c r="AX2219" s="141"/>
    </row>
    <row r="2220" spans="50:50" x14ac:dyDescent="0.25">
      <c r="AX2220" s="141"/>
    </row>
    <row r="2221" spans="50:50" x14ac:dyDescent="0.25">
      <c r="AX2221" s="141"/>
    </row>
    <row r="2222" spans="50:50" x14ac:dyDescent="0.25">
      <c r="AX2222" s="141"/>
    </row>
    <row r="2223" spans="50:50" x14ac:dyDescent="0.25">
      <c r="AX2223" s="141"/>
    </row>
    <row r="2224" spans="50:50" x14ac:dyDescent="0.25">
      <c r="AX2224" s="141"/>
    </row>
    <row r="2225" spans="50:50" x14ac:dyDescent="0.25">
      <c r="AX2225" s="141"/>
    </row>
    <row r="2226" spans="50:50" x14ac:dyDescent="0.25">
      <c r="AX2226" s="141"/>
    </row>
    <row r="2227" spans="50:50" x14ac:dyDescent="0.25">
      <c r="AX2227" s="141"/>
    </row>
    <row r="2228" spans="50:50" x14ac:dyDescent="0.25">
      <c r="AX2228" s="141"/>
    </row>
    <row r="2229" spans="50:50" x14ac:dyDescent="0.25">
      <c r="AX2229" s="141"/>
    </row>
    <row r="2230" spans="50:50" x14ac:dyDescent="0.25">
      <c r="AX2230" s="141"/>
    </row>
    <row r="2231" spans="50:50" x14ac:dyDescent="0.25">
      <c r="AX2231" s="141"/>
    </row>
    <row r="2232" spans="50:50" x14ac:dyDescent="0.25">
      <c r="AX2232" s="141"/>
    </row>
    <row r="2233" spans="50:50" x14ac:dyDescent="0.25">
      <c r="AX2233" s="141"/>
    </row>
    <row r="2244" spans="50:50" x14ac:dyDescent="0.25">
      <c r="AX2244" s="141"/>
    </row>
    <row r="2245" spans="50:50" x14ac:dyDescent="0.25">
      <c r="AX2245" s="141"/>
    </row>
    <row r="2246" spans="50:50" x14ac:dyDescent="0.25">
      <c r="AX2246" s="141"/>
    </row>
    <row r="2247" spans="50:50" x14ac:dyDescent="0.25">
      <c r="AX2247" s="141"/>
    </row>
    <row r="2248" spans="50:50" x14ac:dyDescent="0.25">
      <c r="AX2248" s="141"/>
    </row>
    <row r="2249" spans="50:50" x14ac:dyDescent="0.25">
      <c r="AX2249" s="141"/>
    </row>
    <row r="2250" spans="50:50" x14ac:dyDescent="0.25">
      <c r="AX2250" s="141"/>
    </row>
    <row r="2258" spans="5:50" x14ac:dyDescent="0.25">
      <c r="AX2258" s="141"/>
    </row>
    <row r="2263" spans="5:50" x14ac:dyDescent="0.25">
      <c r="E2263" s="141"/>
    </row>
    <row r="2267" spans="5:50" x14ac:dyDescent="0.25">
      <c r="AX2267" s="141"/>
    </row>
    <row r="2282" spans="50:50" x14ac:dyDescent="0.25">
      <c r="AX2282" s="141"/>
    </row>
    <row r="2291" spans="50:50" x14ac:dyDescent="0.25">
      <c r="AX2291" s="141"/>
    </row>
    <row r="2292" spans="50:50" x14ac:dyDescent="0.25">
      <c r="AX2292" s="141"/>
    </row>
    <row r="2306" spans="50:50" x14ac:dyDescent="0.25">
      <c r="AX2306" s="141"/>
    </row>
    <row r="2307" spans="50:50" x14ac:dyDescent="0.25">
      <c r="AX2307" s="141"/>
    </row>
    <row r="2330" spans="50:50" x14ac:dyDescent="0.25">
      <c r="AX2330" s="141"/>
    </row>
    <row r="2331" spans="50:50" x14ac:dyDescent="0.25">
      <c r="AX2331" s="141"/>
    </row>
    <row r="2332" spans="50:50" x14ac:dyDescent="0.25">
      <c r="AX2332" s="141"/>
    </row>
    <row r="2339" spans="50:50" x14ac:dyDescent="0.25">
      <c r="AX2339" s="141"/>
    </row>
    <row r="2354" spans="50:50" x14ac:dyDescent="0.25">
      <c r="AX2354" s="141"/>
    </row>
    <row r="2363" spans="50:50" x14ac:dyDescent="0.25">
      <c r="AX2363" s="141"/>
    </row>
    <row r="2371" spans="50:50" x14ac:dyDescent="0.25">
      <c r="AX2371" s="141"/>
    </row>
    <row r="2372" spans="50:50" x14ac:dyDescent="0.25">
      <c r="AX2372" s="141"/>
    </row>
    <row r="2373" spans="50:50" x14ac:dyDescent="0.25">
      <c r="AX2373" s="141"/>
    </row>
    <row r="2374" spans="50:50" x14ac:dyDescent="0.25">
      <c r="AX2374" s="141"/>
    </row>
    <row r="2375" spans="50:50" x14ac:dyDescent="0.25">
      <c r="AX2375" s="141"/>
    </row>
    <row r="2376" spans="50:50" x14ac:dyDescent="0.25">
      <c r="AX2376" s="141"/>
    </row>
    <row r="2377" spans="50:50" x14ac:dyDescent="0.25">
      <c r="AX2377" s="141"/>
    </row>
    <row r="2378" spans="50:50" x14ac:dyDescent="0.25">
      <c r="AX2378" s="141"/>
    </row>
    <row r="2388" spans="50:50" x14ac:dyDescent="0.25">
      <c r="AX2388" s="141"/>
    </row>
    <row r="2389" spans="50:50" x14ac:dyDescent="0.25">
      <c r="AX2389" s="141"/>
    </row>
    <row r="2390" spans="50:50" x14ac:dyDescent="0.25">
      <c r="AX2390" s="141"/>
    </row>
    <row r="2391" spans="50:50" x14ac:dyDescent="0.25">
      <c r="AX2391" s="141"/>
    </row>
    <row r="2392" spans="50:50" x14ac:dyDescent="0.25">
      <c r="AX2392" s="141"/>
    </row>
    <row r="2393" spans="50:50" x14ac:dyDescent="0.25">
      <c r="AX2393" s="141"/>
    </row>
    <row r="2394" spans="50:50" x14ac:dyDescent="0.25">
      <c r="AX2394" s="141"/>
    </row>
    <row r="2395" spans="50:50" x14ac:dyDescent="0.25">
      <c r="AX2395" s="141"/>
    </row>
    <row r="2396" spans="50:50" x14ac:dyDescent="0.25">
      <c r="AX2396" s="141"/>
    </row>
    <row r="2397" spans="50:50" x14ac:dyDescent="0.25">
      <c r="AX2397" s="141"/>
    </row>
    <row r="2398" spans="50:50" x14ac:dyDescent="0.25">
      <c r="AX2398" s="141"/>
    </row>
    <row r="2399" spans="50:50" x14ac:dyDescent="0.25">
      <c r="AX2399" s="141"/>
    </row>
    <row r="2400" spans="50:50" x14ac:dyDescent="0.25">
      <c r="AX2400" s="141"/>
    </row>
    <row r="2401" spans="50:50" x14ac:dyDescent="0.25">
      <c r="AX2401" s="141"/>
    </row>
    <row r="2402" spans="50:50" x14ac:dyDescent="0.25">
      <c r="AX2402" s="141"/>
    </row>
    <row r="2412" spans="50:50" x14ac:dyDescent="0.25">
      <c r="AX2412" s="141"/>
    </row>
    <row r="2413" spans="50:50" x14ac:dyDescent="0.25">
      <c r="AX2413" s="141"/>
    </row>
    <row r="2414" spans="50:50" x14ac:dyDescent="0.25">
      <c r="AX2414" s="141"/>
    </row>
    <row r="2415" spans="50:50" x14ac:dyDescent="0.25">
      <c r="AX2415" s="141"/>
    </row>
    <row r="2416" spans="50:50" x14ac:dyDescent="0.25">
      <c r="AX2416" s="141"/>
    </row>
    <row r="2417" spans="50:50" x14ac:dyDescent="0.25">
      <c r="AX2417" s="141"/>
    </row>
    <row r="2418" spans="50:50" x14ac:dyDescent="0.25">
      <c r="AX2418" s="141"/>
    </row>
    <row r="2426" spans="50:50" x14ac:dyDescent="0.25">
      <c r="AX2426" s="141"/>
    </row>
    <row r="2427" spans="50:50" x14ac:dyDescent="0.25">
      <c r="AX2427" s="141"/>
    </row>
    <row r="2435" spans="50:50" x14ac:dyDescent="0.25">
      <c r="AX2435" s="141"/>
    </row>
    <row r="2450" spans="50:50" x14ac:dyDescent="0.25">
      <c r="AX2450" s="141"/>
    </row>
    <row r="2459" spans="50:50" x14ac:dyDescent="0.25">
      <c r="AX2459" s="141"/>
    </row>
    <row r="2460" spans="50:50" x14ac:dyDescent="0.25">
      <c r="AX2460" s="141"/>
    </row>
    <row r="2474" spans="50:50" x14ac:dyDescent="0.25">
      <c r="AX2474" s="141"/>
    </row>
    <row r="2475" spans="50:50" x14ac:dyDescent="0.25">
      <c r="AX2475" s="141"/>
    </row>
    <row r="2498" spans="50:50" x14ac:dyDescent="0.25">
      <c r="AX2498" s="141"/>
    </row>
    <row r="2522" spans="5:50" x14ac:dyDescent="0.25">
      <c r="AX2522" s="141"/>
    </row>
    <row r="2525" spans="5:50" x14ac:dyDescent="0.25">
      <c r="E2525" s="141"/>
    </row>
    <row r="2531" spans="50:50" x14ac:dyDescent="0.25">
      <c r="AX2531" s="141"/>
    </row>
    <row r="2539" spans="50:50" x14ac:dyDescent="0.25">
      <c r="AX2539" s="141"/>
    </row>
    <row r="2540" spans="50:50" x14ac:dyDescent="0.25">
      <c r="AX2540" s="141"/>
    </row>
    <row r="2541" spans="50:50" x14ac:dyDescent="0.25">
      <c r="AX2541" s="141"/>
    </row>
    <row r="2542" spans="50:50" x14ac:dyDescent="0.25">
      <c r="AX2542" s="141"/>
    </row>
    <row r="2543" spans="50:50" x14ac:dyDescent="0.25">
      <c r="AX2543" s="141"/>
    </row>
    <row r="2544" spans="50:50" x14ac:dyDescent="0.25">
      <c r="AX2544" s="141"/>
    </row>
    <row r="2545" spans="50:50" x14ac:dyDescent="0.25">
      <c r="AX2545" s="141"/>
    </row>
    <row r="2546" spans="50:50" x14ac:dyDescent="0.25">
      <c r="AX2546" s="141"/>
    </row>
    <row r="2556" spans="50:50" x14ac:dyDescent="0.25">
      <c r="AX2556" s="141"/>
    </row>
    <row r="2557" spans="50:50" x14ac:dyDescent="0.25">
      <c r="AX2557" s="141"/>
    </row>
    <row r="2558" spans="50:50" x14ac:dyDescent="0.25">
      <c r="AX2558" s="141"/>
    </row>
    <row r="2559" spans="50:50" x14ac:dyDescent="0.25">
      <c r="AX2559" s="141"/>
    </row>
    <row r="2560" spans="50:50" x14ac:dyDescent="0.25">
      <c r="AX2560" s="141"/>
    </row>
    <row r="2561" spans="50:50" x14ac:dyDescent="0.25">
      <c r="AX2561" s="141"/>
    </row>
    <row r="2562" spans="50:50" x14ac:dyDescent="0.25">
      <c r="AX2562" s="141"/>
    </row>
    <row r="2563" spans="50:50" x14ac:dyDescent="0.25">
      <c r="AX2563" s="141"/>
    </row>
    <row r="2564" spans="50:50" x14ac:dyDescent="0.25">
      <c r="AX2564" s="141"/>
    </row>
    <row r="2565" spans="50:50" x14ac:dyDescent="0.25">
      <c r="AX2565" s="141"/>
    </row>
    <row r="2566" spans="50:50" x14ac:dyDescent="0.25">
      <c r="AX2566" s="141"/>
    </row>
    <row r="2567" spans="50:50" x14ac:dyDescent="0.25">
      <c r="AX2567" s="141"/>
    </row>
    <row r="2568" spans="50:50" x14ac:dyDescent="0.25">
      <c r="AX2568" s="141"/>
    </row>
    <row r="2569" spans="50:50" x14ac:dyDescent="0.25">
      <c r="AX2569" s="141"/>
    </row>
    <row r="2570" spans="50:50" x14ac:dyDescent="0.25">
      <c r="AX2570" s="141"/>
    </row>
    <row r="2580" spans="50:50" x14ac:dyDescent="0.25">
      <c r="AX2580" s="141"/>
    </row>
    <row r="2581" spans="50:50" x14ac:dyDescent="0.25">
      <c r="AX2581" s="141"/>
    </row>
    <row r="2582" spans="50:50" x14ac:dyDescent="0.25">
      <c r="AX2582" s="141"/>
    </row>
    <row r="2583" spans="50:50" x14ac:dyDescent="0.25">
      <c r="AX2583" s="141"/>
    </row>
    <row r="2584" spans="50:50" x14ac:dyDescent="0.25">
      <c r="AX2584" s="141"/>
    </row>
    <row r="2585" spans="50:50" x14ac:dyDescent="0.25">
      <c r="AX2585" s="141"/>
    </row>
    <row r="2586" spans="50:50" x14ac:dyDescent="0.25">
      <c r="AX2586" s="141"/>
    </row>
    <row r="2594" spans="50:50" x14ac:dyDescent="0.25">
      <c r="AX2594" s="141"/>
    </row>
    <row r="2595" spans="50:50" x14ac:dyDescent="0.25">
      <c r="AX2595" s="141"/>
    </row>
    <row r="2602" spans="50:50" x14ac:dyDescent="0.25">
      <c r="AX2602" s="141"/>
    </row>
    <row r="2603" spans="50:50" x14ac:dyDescent="0.25">
      <c r="AX2603" s="141"/>
    </row>
    <row r="2618" spans="50:50" x14ac:dyDescent="0.25">
      <c r="AX2618" s="141"/>
    </row>
    <row r="2619" spans="50:50" x14ac:dyDescent="0.25">
      <c r="AX2619" s="141"/>
    </row>
    <row r="2620" spans="50:50" x14ac:dyDescent="0.25">
      <c r="AX2620" s="141"/>
    </row>
    <row r="2627" spans="50:50" x14ac:dyDescent="0.25">
      <c r="AX2627" s="141"/>
    </row>
    <row r="2642" spans="50:50" x14ac:dyDescent="0.25">
      <c r="AX2642" s="141"/>
    </row>
    <row r="2643" spans="50:50" x14ac:dyDescent="0.25">
      <c r="AX2643" s="141"/>
    </row>
    <row r="2651" spans="50:50" x14ac:dyDescent="0.25">
      <c r="AX2651" s="141"/>
    </row>
    <row r="2665" spans="50:50" x14ac:dyDescent="0.25">
      <c r="AX2665" s="141"/>
    </row>
    <row r="2666" spans="50:50" x14ac:dyDescent="0.25">
      <c r="AX2666" s="141"/>
    </row>
    <row r="2667" spans="50:50" x14ac:dyDescent="0.25">
      <c r="AX2667" s="141"/>
    </row>
    <row r="2676" spans="50:50" x14ac:dyDescent="0.25">
      <c r="AX2676" s="141"/>
    </row>
    <row r="2689" spans="50:50" x14ac:dyDescent="0.25">
      <c r="AX2689" s="141"/>
    </row>
    <row r="2690" spans="50:50" x14ac:dyDescent="0.25">
      <c r="AX2690" s="141"/>
    </row>
    <row r="2691" spans="50:50" x14ac:dyDescent="0.25">
      <c r="AX2691" s="141"/>
    </row>
    <row r="2692" spans="50:50" x14ac:dyDescent="0.25">
      <c r="AX2692" s="141"/>
    </row>
    <row r="2693" spans="50:50" x14ac:dyDescent="0.25">
      <c r="AX2693" s="141"/>
    </row>
    <row r="2698" spans="50:50" x14ac:dyDescent="0.25">
      <c r="AX2698" s="141"/>
    </row>
    <row r="2699" spans="50:50" x14ac:dyDescent="0.25">
      <c r="AX2699" s="141"/>
    </row>
    <row r="2707" spans="50:50" x14ac:dyDescent="0.25">
      <c r="AX2707" s="141"/>
    </row>
    <row r="2708" spans="50:50" x14ac:dyDescent="0.25">
      <c r="AX2708" s="141"/>
    </row>
    <row r="2709" spans="50:50" x14ac:dyDescent="0.25">
      <c r="AX2709" s="141"/>
    </row>
    <row r="2710" spans="50:50" x14ac:dyDescent="0.25">
      <c r="AX2710" s="141"/>
    </row>
    <row r="2711" spans="50:50" x14ac:dyDescent="0.25">
      <c r="AX2711" s="141"/>
    </row>
    <row r="2712" spans="50:50" x14ac:dyDescent="0.25">
      <c r="AX2712" s="141"/>
    </row>
    <row r="2713" spans="50:50" x14ac:dyDescent="0.25">
      <c r="AX2713" s="141"/>
    </row>
    <row r="2714" spans="50:50" x14ac:dyDescent="0.25">
      <c r="AX2714" s="141"/>
    </row>
    <row r="2715" spans="50:50" x14ac:dyDescent="0.25">
      <c r="AX2715" s="141"/>
    </row>
    <row r="2723" spans="50:50" x14ac:dyDescent="0.25">
      <c r="AX2723" s="141"/>
    </row>
    <row r="2724" spans="50:50" x14ac:dyDescent="0.25">
      <c r="AX2724" s="141"/>
    </row>
    <row r="2725" spans="50:50" x14ac:dyDescent="0.25">
      <c r="AX2725" s="141"/>
    </row>
    <row r="2726" spans="50:50" x14ac:dyDescent="0.25">
      <c r="AX2726" s="141"/>
    </row>
    <row r="2727" spans="50:50" x14ac:dyDescent="0.25">
      <c r="AX2727" s="141"/>
    </row>
    <row r="2728" spans="50:50" x14ac:dyDescent="0.25">
      <c r="AX2728" s="141"/>
    </row>
    <row r="2729" spans="50:50" x14ac:dyDescent="0.25">
      <c r="AX2729" s="141"/>
    </row>
    <row r="2730" spans="50:50" x14ac:dyDescent="0.25">
      <c r="AX2730" s="141"/>
    </row>
    <row r="2731" spans="50:50" x14ac:dyDescent="0.25">
      <c r="AX2731" s="141"/>
    </row>
    <row r="2732" spans="50:50" x14ac:dyDescent="0.25">
      <c r="AX2732" s="141"/>
    </row>
    <row r="2733" spans="50:50" x14ac:dyDescent="0.25">
      <c r="AX2733" s="141"/>
    </row>
    <row r="2734" spans="50:50" x14ac:dyDescent="0.25">
      <c r="AX2734" s="141"/>
    </row>
    <row r="2735" spans="50:50" x14ac:dyDescent="0.25">
      <c r="AX2735" s="141"/>
    </row>
    <row r="2736" spans="50:50" x14ac:dyDescent="0.25">
      <c r="AX2736" s="141"/>
    </row>
    <row r="2737" spans="50:50" x14ac:dyDescent="0.25">
      <c r="AX2737" s="141"/>
    </row>
    <row r="2738" spans="50:50" x14ac:dyDescent="0.25">
      <c r="AX2738" s="141"/>
    </row>
    <row r="2748" spans="50:50" x14ac:dyDescent="0.25">
      <c r="AX2748" s="141"/>
    </row>
    <row r="2749" spans="50:50" x14ac:dyDescent="0.25">
      <c r="AX2749" s="141"/>
    </row>
    <row r="2750" spans="50:50" x14ac:dyDescent="0.25">
      <c r="AX2750" s="141"/>
    </row>
    <row r="2751" spans="50:50" x14ac:dyDescent="0.25">
      <c r="AX2751" s="141"/>
    </row>
    <row r="2752" spans="50:50" x14ac:dyDescent="0.25">
      <c r="AX2752" s="141"/>
    </row>
    <row r="2753" spans="50:50" x14ac:dyDescent="0.25">
      <c r="AX2753" s="141"/>
    </row>
    <row r="2754" spans="50:50" x14ac:dyDescent="0.25">
      <c r="AX2754" s="141"/>
    </row>
    <row r="2755" spans="50:50" x14ac:dyDescent="0.25">
      <c r="AX2755" s="141"/>
    </row>
    <row r="2756" spans="50:50" x14ac:dyDescent="0.25">
      <c r="AX2756" s="141"/>
    </row>
    <row r="2757" spans="50:50" x14ac:dyDescent="0.25">
      <c r="AX2757" s="141"/>
    </row>
    <row r="2758" spans="50:50" x14ac:dyDescent="0.25">
      <c r="AX2758" s="141"/>
    </row>
    <row r="2759" spans="50:50" x14ac:dyDescent="0.25">
      <c r="AX2759" s="141"/>
    </row>
    <row r="2760" spans="50:50" x14ac:dyDescent="0.25">
      <c r="AX2760" s="141"/>
    </row>
    <row r="2761" spans="50:50" x14ac:dyDescent="0.25">
      <c r="AX2761" s="141"/>
    </row>
    <row r="2762" spans="50:50" x14ac:dyDescent="0.25">
      <c r="AX2762" s="141"/>
    </row>
    <row r="2763" spans="50:50" x14ac:dyDescent="0.25">
      <c r="AX2763" s="141"/>
    </row>
    <row r="2772" spans="50:50" x14ac:dyDescent="0.25">
      <c r="AX2772" s="141"/>
    </row>
    <row r="2773" spans="50:50" x14ac:dyDescent="0.25">
      <c r="AX2773" s="141"/>
    </row>
    <row r="2774" spans="50:50" x14ac:dyDescent="0.25">
      <c r="AX2774" s="141"/>
    </row>
    <row r="2775" spans="50:50" x14ac:dyDescent="0.25">
      <c r="AX2775" s="141"/>
    </row>
    <row r="2776" spans="50:50" x14ac:dyDescent="0.25">
      <c r="AX2776" s="141"/>
    </row>
    <row r="2777" spans="50:50" x14ac:dyDescent="0.25">
      <c r="AX2777" s="141"/>
    </row>
    <row r="2778" spans="50:50" x14ac:dyDescent="0.25">
      <c r="AX2778" s="141"/>
    </row>
    <row r="2779" spans="50:50" x14ac:dyDescent="0.25">
      <c r="AX2779" s="141"/>
    </row>
    <row r="2780" spans="50:50" x14ac:dyDescent="0.25">
      <c r="AX2780" s="141"/>
    </row>
    <row r="2781" spans="50:50" x14ac:dyDescent="0.25">
      <c r="AX2781" s="141"/>
    </row>
    <row r="2782" spans="50:50" x14ac:dyDescent="0.25">
      <c r="AX2782" s="141"/>
    </row>
    <row r="2783" spans="50:50" x14ac:dyDescent="0.25">
      <c r="AX2783" s="141"/>
    </row>
    <row r="2784" spans="50:50" x14ac:dyDescent="0.25">
      <c r="AX2784" s="141"/>
    </row>
    <row r="2785" spans="5:50" x14ac:dyDescent="0.25">
      <c r="AX2785" s="141"/>
    </row>
    <row r="2786" spans="5:50" x14ac:dyDescent="0.25">
      <c r="AX2786" s="141"/>
    </row>
    <row r="2791" spans="5:50" x14ac:dyDescent="0.25">
      <c r="E2791" s="141"/>
    </row>
    <row r="2796" spans="5:50" x14ac:dyDescent="0.25">
      <c r="AX2796" s="141"/>
    </row>
    <row r="2797" spans="5:50" x14ac:dyDescent="0.25">
      <c r="AX2797" s="141"/>
    </row>
    <row r="2798" spans="5:50" x14ac:dyDescent="0.25">
      <c r="AX2798" s="141"/>
    </row>
    <row r="2799" spans="5:50" x14ac:dyDescent="0.25">
      <c r="AX2799" s="141"/>
    </row>
    <row r="2800" spans="5:50" x14ac:dyDescent="0.25">
      <c r="AX2800" s="141"/>
    </row>
    <row r="2801" spans="50:50" x14ac:dyDescent="0.25">
      <c r="AX2801" s="141"/>
    </row>
    <row r="2802" spans="50:50" x14ac:dyDescent="0.25">
      <c r="AX2802" s="141"/>
    </row>
    <row r="2803" spans="50:50" x14ac:dyDescent="0.25">
      <c r="AX2803" s="141"/>
    </row>
    <row r="2804" spans="50:50" x14ac:dyDescent="0.25">
      <c r="AX2804" s="141"/>
    </row>
    <row r="2805" spans="50:50" x14ac:dyDescent="0.25">
      <c r="AX2805" s="141"/>
    </row>
    <row r="2806" spans="50:50" x14ac:dyDescent="0.25">
      <c r="AX2806" s="141"/>
    </row>
    <row r="2807" spans="50:50" x14ac:dyDescent="0.25">
      <c r="AX2807" s="141"/>
    </row>
    <row r="2808" spans="50:50" x14ac:dyDescent="0.25">
      <c r="AX2808" s="141"/>
    </row>
    <row r="2809" spans="50:50" x14ac:dyDescent="0.25">
      <c r="AX2809" s="141"/>
    </row>
    <row r="2810" spans="50:50" x14ac:dyDescent="0.25">
      <c r="AX2810" s="141"/>
    </row>
    <row r="2820" spans="50:50" x14ac:dyDescent="0.25">
      <c r="AX2820" s="141"/>
    </row>
    <row r="2821" spans="50:50" x14ac:dyDescent="0.25">
      <c r="AX2821" s="141"/>
    </row>
    <row r="2822" spans="50:50" x14ac:dyDescent="0.25">
      <c r="AX2822" s="141"/>
    </row>
    <row r="2823" spans="50:50" x14ac:dyDescent="0.25">
      <c r="AX2823" s="141"/>
    </row>
    <row r="2824" spans="50:50" x14ac:dyDescent="0.25">
      <c r="AX2824" s="141"/>
    </row>
    <row r="2825" spans="50:50" x14ac:dyDescent="0.25">
      <c r="AX2825" s="141"/>
    </row>
    <row r="2826" spans="50:50" x14ac:dyDescent="0.25">
      <c r="AX2826" s="141"/>
    </row>
    <row r="2827" spans="50:50" x14ac:dyDescent="0.25">
      <c r="AX2827" s="141"/>
    </row>
    <row r="2828" spans="50:50" x14ac:dyDescent="0.25">
      <c r="AX2828" s="141"/>
    </row>
    <row r="2829" spans="50:50" x14ac:dyDescent="0.25">
      <c r="AX2829" s="141"/>
    </row>
    <row r="2830" spans="50:50" x14ac:dyDescent="0.25">
      <c r="AX2830" s="141"/>
    </row>
    <row r="2831" spans="50:50" x14ac:dyDescent="0.25">
      <c r="AX2831" s="141"/>
    </row>
    <row r="2832" spans="50:50" x14ac:dyDescent="0.25">
      <c r="AX2832" s="141"/>
    </row>
    <row r="2833" spans="50:50" x14ac:dyDescent="0.25">
      <c r="AX2833" s="141"/>
    </row>
    <row r="2834" spans="50:50" x14ac:dyDescent="0.25">
      <c r="AX2834" s="141"/>
    </row>
    <row r="2843" spans="50:50" x14ac:dyDescent="0.25">
      <c r="AX2843" s="141"/>
    </row>
    <row r="2844" spans="50:50" x14ac:dyDescent="0.25">
      <c r="AX2844" s="141"/>
    </row>
    <row r="2845" spans="50:50" x14ac:dyDescent="0.25">
      <c r="AX2845" s="141"/>
    </row>
    <row r="2846" spans="50:50" x14ac:dyDescent="0.25">
      <c r="AX2846" s="141"/>
    </row>
    <row r="2847" spans="50:50" x14ac:dyDescent="0.25">
      <c r="AX2847" s="141"/>
    </row>
    <row r="2848" spans="50:50" x14ac:dyDescent="0.25">
      <c r="AX2848" s="141"/>
    </row>
    <row r="2849" spans="50:50" x14ac:dyDescent="0.25">
      <c r="AX2849" s="141"/>
    </row>
    <row r="2850" spans="50:50" x14ac:dyDescent="0.25">
      <c r="AX2850" s="141"/>
    </row>
    <row r="2851" spans="50:50" x14ac:dyDescent="0.25">
      <c r="AX2851" s="141"/>
    </row>
    <row r="2852" spans="50:50" x14ac:dyDescent="0.25">
      <c r="AX2852" s="141"/>
    </row>
    <row r="2853" spans="50:50" x14ac:dyDescent="0.25">
      <c r="AX2853" s="141"/>
    </row>
    <row r="2854" spans="50:50" x14ac:dyDescent="0.25">
      <c r="AX2854" s="141"/>
    </row>
    <row r="2855" spans="50:50" x14ac:dyDescent="0.25">
      <c r="AX2855" s="141"/>
    </row>
    <row r="2856" spans="50:50" x14ac:dyDescent="0.25">
      <c r="AX2856" s="141"/>
    </row>
    <row r="2857" spans="50:50" x14ac:dyDescent="0.25">
      <c r="AX2857" s="141"/>
    </row>
    <row r="2868" spans="50:50" x14ac:dyDescent="0.25">
      <c r="AX2868" s="141"/>
    </row>
    <row r="2869" spans="50:50" x14ac:dyDescent="0.25">
      <c r="AX2869" s="141"/>
    </row>
    <row r="2870" spans="50:50" x14ac:dyDescent="0.25">
      <c r="AX2870" s="141"/>
    </row>
    <row r="2871" spans="50:50" x14ac:dyDescent="0.25">
      <c r="AX2871" s="141"/>
    </row>
    <row r="2872" spans="50:50" x14ac:dyDescent="0.25">
      <c r="AX2872" s="141"/>
    </row>
    <row r="2873" spans="50:50" x14ac:dyDescent="0.25">
      <c r="AX2873" s="141"/>
    </row>
    <row r="2874" spans="50:50" x14ac:dyDescent="0.25">
      <c r="AX2874" s="141"/>
    </row>
    <row r="2875" spans="50:50" x14ac:dyDescent="0.25">
      <c r="AX2875" s="141"/>
    </row>
    <row r="2876" spans="50:50" x14ac:dyDescent="0.25">
      <c r="AX2876" s="141"/>
    </row>
    <row r="2877" spans="50:50" x14ac:dyDescent="0.25">
      <c r="AX2877" s="141"/>
    </row>
    <row r="2878" spans="50:50" x14ac:dyDescent="0.25">
      <c r="AX2878" s="141"/>
    </row>
    <row r="2879" spans="50:50" x14ac:dyDescent="0.25">
      <c r="AX2879" s="141"/>
    </row>
    <row r="2880" spans="50:50" x14ac:dyDescent="0.25">
      <c r="AX2880" s="141"/>
    </row>
    <row r="2881" spans="50:50" x14ac:dyDescent="0.25">
      <c r="AX2881" s="141"/>
    </row>
    <row r="2892" spans="50:50" x14ac:dyDescent="0.25">
      <c r="AX2892" s="141"/>
    </row>
    <row r="2893" spans="50:50" x14ac:dyDescent="0.25">
      <c r="AX2893" s="141"/>
    </row>
    <row r="2894" spans="50:50" x14ac:dyDescent="0.25">
      <c r="AX2894" s="141"/>
    </row>
    <row r="2895" spans="50:50" x14ac:dyDescent="0.25">
      <c r="AX2895" s="141"/>
    </row>
    <row r="2896" spans="50:50" x14ac:dyDescent="0.25">
      <c r="AX2896" s="141"/>
    </row>
    <row r="2897" spans="50:50" x14ac:dyDescent="0.25">
      <c r="AX2897" s="141"/>
    </row>
    <row r="2898" spans="50:50" x14ac:dyDescent="0.25">
      <c r="AX2898" s="141"/>
    </row>
    <row r="2899" spans="50:50" x14ac:dyDescent="0.25">
      <c r="AX2899" s="141"/>
    </row>
    <row r="2900" spans="50:50" x14ac:dyDescent="0.25">
      <c r="AX2900" s="141"/>
    </row>
    <row r="2901" spans="50:50" x14ac:dyDescent="0.25">
      <c r="AX2901" s="141"/>
    </row>
    <row r="2902" spans="50:50" x14ac:dyDescent="0.25">
      <c r="AX2902" s="141"/>
    </row>
    <row r="2903" spans="50:50" x14ac:dyDescent="0.25">
      <c r="AX2903" s="141"/>
    </row>
    <row r="2904" spans="50:50" x14ac:dyDescent="0.25">
      <c r="AX2904" s="141"/>
    </row>
    <row r="2905" spans="50:50" x14ac:dyDescent="0.25">
      <c r="AX2905" s="141"/>
    </row>
    <row r="2915" spans="50:50" x14ac:dyDescent="0.25">
      <c r="AX2915" s="141"/>
    </row>
    <row r="2916" spans="50:50" x14ac:dyDescent="0.25">
      <c r="AX2916" s="141"/>
    </row>
    <row r="2917" spans="50:50" x14ac:dyDescent="0.25">
      <c r="AX2917" s="141"/>
    </row>
    <row r="2918" spans="50:50" x14ac:dyDescent="0.25">
      <c r="AX2918" s="141"/>
    </row>
    <row r="2919" spans="50:50" x14ac:dyDescent="0.25">
      <c r="AX2919" s="141"/>
    </row>
    <row r="2920" spans="50:50" x14ac:dyDescent="0.25">
      <c r="AX2920" s="141"/>
    </row>
    <row r="2921" spans="50:50" x14ac:dyDescent="0.25">
      <c r="AX2921" s="141"/>
    </row>
    <row r="2922" spans="50:50" x14ac:dyDescent="0.25">
      <c r="AX2922" s="141"/>
    </row>
    <row r="2923" spans="50:50" x14ac:dyDescent="0.25">
      <c r="AX2923" s="141"/>
    </row>
    <row r="2924" spans="50:50" x14ac:dyDescent="0.25">
      <c r="AX2924" s="141"/>
    </row>
    <row r="2925" spans="50:50" x14ac:dyDescent="0.25">
      <c r="AX2925" s="141"/>
    </row>
    <row r="2926" spans="50:50" x14ac:dyDescent="0.25">
      <c r="AX2926" s="141"/>
    </row>
    <row r="2927" spans="50:50" x14ac:dyDescent="0.25">
      <c r="AX2927" s="141"/>
    </row>
    <row r="2928" spans="50:50" x14ac:dyDescent="0.25">
      <c r="AX2928" s="141"/>
    </row>
    <row r="2929" spans="50:50" x14ac:dyDescent="0.25">
      <c r="AX2929" s="141"/>
    </row>
    <row r="2930" spans="50:50" x14ac:dyDescent="0.25">
      <c r="AX2930" s="141"/>
    </row>
    <row r="2939" spans="50:50" x14ac:dyDescent="0.25">
      <c r="AX2939" s="141"/>
    </row>
    <row r="2940" spans="50:50" x14ac:dyDescent="0.25">
      <c r="AX2940" s="141"/>
    </row>
    <row r="2943" spans="50:50" x14ac:dyDescent="0.25">
      <c r="AX2943" s="141"/>
    </row>
    <row r="2944" spans="50:50" x14ac:dyDescent="0.25">
      <c r="AX2944" s="141"/>
    </row>
    <row r="2945" spans="6:50" x14ac:dyDescent="0.25">
      <c r="AX2945" s="141"/>
    </row>
    <row r="2946" spans="6:50" x14ac:dyDescent="0.25">
      <c r="AX2946" s="141"/>
    </row>
    <row r="2947" spans="6:50" x14ac:dyDescent="0.25">
      <c r="AX2947" s="141"/>
    </row>
    <row r="2948" spans="6:50" x14ac:dyDescent="0.25">
      <c r="F2948" s="141"/>
      <c r="AX2948" s="141"/>
    </row>
    <row r="2949" spans="6:50" x14ac:dyDescent="0.25">
      <c r="AX2949" s="141"/>
    </row>
    <row r="2950" spans="6:50" x14ac:dyDescent="0.25">
      <c r="AX2950" s="141"/>
    </row>
    <row r="2951" spans="6:50" x14ac:dyDescent="0.25">
      <c r="AX2951" s="141"/>
    </row>
    <row r="2952" spans="6:50" x14ac:dyDescent="0.25">
      <c r="AX2952" s="141"/>
    </row>
    <row r="2953" spans="6:50" x14ac:dyDescent="0.25">
      <c r="AX2953" s="141"/>
    </row>
    <row r="2954" spans="6:50" x14ac:dyDescent="0.25">
      <c r="AX2954" s="141"/>
    </row>
    <row r="2955" spans="6:50" x14ac:dyDescent="0.25">
      <c r="AX2955" s="141"/>
    </row>
    <row r="2961" spans="50:50" x14ac:dyDescent="0.25">
      <c r="AX2961" s="141"/>
    </row>
    <row r="2962" spans="50:50" x14ac:dyDescent="0.25">
      <c r="AX2962" s="141"/>
    </row>
    <row r="2963" spans="50:50" x14ac:dyDescent="0.25">
      <c r="AX2963" s="141"/>
    </row>
    <row r="2977" spans="50:50" x14ac:dyDescent="0.25">
      <c r="AX2977" s="141"/>
    </row>
    <row r="2978" spans="50:50" x14ac:dyDescent="0.25">
      <c r="AX2978" s="141"/>
    </row>
    <row r="2979" spans="50:50" x14ac:dyDescent="0.25">
      <c r="AX2979" s="141"/>
    </row>
    <row r="2980" spans="50:50" x14ac:dyDescent="0.25">
      <c r="AX2980" s="141"/>
    </row>
    <row r="2986" spans="50:50" x14ac:dyDescent="0.25">
      <c r="AX2986" s="141"/>
    </row>
    <row r="2987" spans="50:50" x14ac:dyDescent="0.25">
      <c r="AX2987" s="141"/>
    </row>
    <row r="2995" spans="50:50" x14ac:dyDescent="0.25">
      <c r="AX2995" s="141"/>
    </row>
    <row r="2996" spans="50:50" x14ac:dyDescent="0.25">
      <c r="AX2996" s="141"/>
    </row>
    <row r="2997" spans="50:50" x14ac:dyDescent="0.25">
      <c r="AX2997" s="141"/>
    </row>
    <row r="2998" spans="50:50" x14ac:dyDescent="0.25">
      <c r="AX2998" s="141"/>
    </row>
    <row r="2999" spans="50:50" x14ac:dyDescent="0.25">
      <c r="AX2999" s="141"/>
    </row>
    <row r="3000" spans="50:50" x14ac:dyDescent="0.25">
      <c r="AX3000" s="141"/>
    </row>
    <row r="3001" spans="50:50" x14ac:dyDescent="0.25">
      <c r="AX3001" s="141"/>
    </row>
    <row r="3002" spans="50:50" x14ac:dyDescent="0.25">
      <c r="AX3002" s="141"/>
    </row>
    <row r="3003" spans="50:50" x14ac:dyDescent="0.25">
      <c r="AX3003" s="141"/>
    </row>
    <row r="3011" spans="50:50" x14ac:dyDescent="0.25">
      <c r="AX3011" s="141"/>
    </row>
    <row r="3012" spans="50:50" x14ac:dyDescent="0.25">
      <c r="AX3012" s="141"/>
    </row>
    <row r="3013" spans="50:50" x14ac:dyDescent="0.25">
      <c r="AX3013" s="141"/>
    </row>
    <row r="3014" spans="50:50" x14ac:dyDescent="0.25">
      <c r="AX3014" s="141"/>
    </row>
    <row r="3015" spans="50:50" x14ac:dyDescent="0.25">
      <c r="AX3015" s="141"/>
    </row>
    <row r="3016" spans="50:50" x14ac:dyDescent="0.25">
      <c r="AX3016" s="141"/>
    </row>
    <row r="3017" spans="50:50" x14ac:dyDescent="0.25">
      <c r="AX3017" s="141"/>
    </row>
    <row r="3018" spans="50:50" x14ac:dyDescent="0.25">
      <c r="AX3018" s="141"/>
    </row>
    <row r="3019" spans="50:50" x14ac:dyDescent="0.25">
      <c r="AX3019" s="141"/>
    </row>
    <row r="3020" spans="50:50" x14ac:dyDescent="0.25">
      <c r="AX3020" s="141"/>
    </row>
    <row r="3021" spans="50:50" x14ac:dyDescent="0.25">
      <c r="AX3021" s="141"/>
    </row>
    <row r="3022" spans="50:50" x14ac:dyDescent="0.25">
      <c r="AX3022" s="141"/>
    </row>
    <row r="3023" spans="50:50" x14ac:dyDescent="0.25">
      <c r="AX3023" s="141"/>
    </row>
    <row r="3024" spans="50:50" x14ac:dyDescent="0.25">
      <c r="AX3024" s="141"/>
    </row>
    <row r="3025" spans="50:50" x14ac:dyDescent="0.25">
      <c r="AX3025" s="141"/>
    </row>
    <row r="3026" spans="50:50" x14ac:dyDescent="0.25">
      <c r="AX3026" s="141"/>
    </row>
    <row r="3035" spans="50:50" x14ac:dyDescent="0.25">
      <c r="AX3035" s="141"/>
    </row>
    <row r="3036" spans="50:50" x14ac:dyDescent="0.25">
      <c r="AX3036" s="141"/>
    </row>
    <row r="3037" spans="50:50" x14ac:dyDescent="0.25">
      <c r="AX3037" s="141"/>
    </row>
    <row r="3038" spans="50:50" x14ac:dyDescent="0.25">
      <c r="AX3038" s="141"/>
    </row>
    <row r="3039" spans="50:50" x14ac:dyDescent="0.25">
      <c r="AX3039" s="141"/>
    </row>
    <row r="3040" spans="50:50" x14ac:dyDescent="0.25">
      <c r="AX3040" s="141"/>
    </row>
    <row r="3041" spans="50:50" x14ac:dyDescent="0.25">
      <c r="AX3041" s="141"/>
    </row>
    <row r="3042" spans="50:50" x14ac:dyDescent="0.25">
      <c r="AX3042" s="141"/>
    </row>
    <row r="3043" spans="50:50" x14ac:dyDescent="0.25">
      <c r="AX3043" s="141"/>
    </row>
    <row r="3044" spans="50:50" x14ac:dyDescent="0.25">
      <c r="AX3044" s="141"/>
    </row>
    <row r="3045" spans="50:50" x14ac:dyDescent="0.25">
      <c r="AX3045" s="141"/>
    </row>
    <row r="3046" spans="50:50" x14ac:dyDescent="0.25">
      <c r="AX3046" s="141"/>
    </row>
    <row r="3047" spans="50:50" x14ac:dyDescent="0.25">
      <c r="AX3047" s="141"/>
    </row>
    <row r="3048" spans="50:50" x14ac:dyDescent="0.25">
      <c r="AX3048" s="141"/>
    </row>
    <row r="3049" spans="50:50" x14ac:dyDescent="0.25">
      <c r="AX3049" s="141"/>
    </row>
    <row r="3059" spans="50:50" x14ac:dyDescent="0.25">
      <c r="AX3059" s="141"/>
    </row>
    <row r="3060" spans="50:50" x14ac:dyDescent="0.25">
      <c r="AX3060" s="141"/>
    </row>
    <row r="3064" spans="50:50" x14ac:dyDescent="0.25">
      <c r="AX3064" s="141"/>
    </row>
    <row r="3065" spans="50:50" x14ac:dyDescent="0.25">
      <c r="AX3065" s="141"/>
    </row>
    <row r="3066" spans="50:50" x14ac:dyDescent="0.25">
      <c r="AX3066" s="141"/>
    </row>
    <row r="3074" spans="50:50" x14ac:dyDescent="0.25">
      <c r="AX3074" s="141"/>
    </row>
    <row r="3075" spans="50:50" x14ac:dyDescent="0.25">
      <c r="AX3075" s="141"/>
    </row>
    <row r="3083" spans="50:50" x14ac:dyDescent="0.25">
      <c r="AX3083" s="141"/>
    </row>
    <row r="3097" spans="50:50" x14ac:dyDescent="0.25">
      <c r="AX3097" s="141"/>
    </row>
    <row r="3098" spans="50:50" x14ac:dyDescent="0.25">
      <c r="AX3098" s="141"/>
    </row>
    <row r="3099" spans="50:50" x14ac:dyDescent="0.25">
      <c r="AX3099" s="141"/>
    </row>
    <row r="3100" spans="50:50" x14ac:dyDescent="0.25">
      <c r="AX3100" s="141"/>
    </row>
    <row r="3106" spans="50:50" x14ac:dyDescent="0.25">
      <c r="AX3106" s="141"/>
    </row>
    <row r="3107" spans="50:50" x14ac:dyDescent="0.25">
      <c r="AX3107" s="141"/>
    </row>
    <row r="3108" spans="50:50" x14ac:dyDescent="0.25">
      <c r="AX3108" s="141"/>
    </row>
    <row r="3115" spans="50:50" x14ac:dyDescent="0.25">
      <c r="AX3115" s="141"/>
    </row>
    <row r="3116" spans="50:50" x14ac:dyDescent="0.25">
      <c r="AX3116" s="141"/>
    </row>
    <row r="3117" spans="50:50" x14ac:dyDescent="0.25">
      <c r="AX3117" s="141"/>
    </row>
    <row r="3118" spans="50:50" x14ac:dyDescent="0.25">
      <c r="AX3118" s="141"/>
    </row>
    <row r="3119" spans="50:50" x14ac:dyDescent="0.25">
      <c r="AX3119" s="141"/>
    </row>
    <row r="3120" spans="50:50" x14ac:dyDescent="0.25">
      <c r="AX3120" s="141"/>
    </row>
    <row r="3121" spans="50:50" x14ac:dyDescent="0.25">
      <c r="AX3121" s="141"/>
    </row>
    <row r="3122" spans="50:50" x14ac:dyDescent="0.25">
      <c r="AX3122" s="141"/>
    </row>
    <row r="3131" spans="50:50" x14ac:dyDescent="0.25">
      <c r="AX3131" s="141"/>
    </row>
    <row r="3132" spans="50:50" x14ac:dyDescent="0.25">
      <c r="AX3132" s="141"/>
    </row>
    <row r="3133" spans="50:50" x14ac:dyDescent="0.25">
      <c r="AX3133" s="141"/>
    </row>
    <row r="3134" spans="50:50" x14ac:dyDescent="0.25">
      <c r="AX3134" s="141"/>
    </row>
    <row r="3135" spans="50:50" x14ac:dyDescent="0.25">
      <c r="AX3135" s="141"/>
    </row>
    <row r="3136" spans="50:50" x14ac:dyDescent="0.25">
      <c r="AX3136" s="141"/>
    </row>
    <row r="3137" spans="50:50" x14ac:dyDescent="0.25">
      <c r="AX3137" s="141"/>
    </row>
    <row r="3138" spans="50:50" x14ac:dyDescent="0.25">
      <c r="AX3138" s="141"/>
    </row>
    <row r="3139" spans="50:50" x14ac:dyDescent="0.25">
      <c r="AX3139" s="141"/>
    </row>
    <row r="3140" spans="50:50" x14ac:dyDescent="0.25">
      <c r="AX3140" s="141"/>
    </row>
    <row r="3141" spans="50:50" x14ac:dyDescent="0.25">
      <c r="AX3141" s="141"/>
    </row>
    <row r="3142" spans="50:50" x14ac:dyDescent="0.25">
      <c r="AX3142" s="141"/>
    </row>
    <row r="3143" spans="50:50" x14ac:dyDescent="0.25">
      <c r="AX3143" s="141"/>
    </row>
    <row r="3144" spans="50:50" x14ac:dyDescent="0.25">
      <c r="AX3144" s="141"/>
    </row>
    <row r="3145" spans="50:50" x14ac:dyDescent="0.25">
      <c r="AX3145" s="141"/>
    </row>
    <row r="3146" spans="50:50" x14ac:dyDescent="0.25">
      <c r="AX3146" s="141"/>
    </row>
    <row r="3155" spans="6:50" x14ac:dyDescent="0.25">
      <c r="AX3155" s="141"/>
    </row>
    <row r="3156" spans="6:50" x14ac:dyDescent="0.25">
      <c r="AX3156" s="141"/>
    </row>
    <row r="3157" spans="6:50" x14ac:dyDescent="0.25">
      <c r="AX3157" s="141"/>
    </row>
    <row r="3158" spans="6:50" x14ac:dyDescent="0.25">
      <c r="AX3158" s="141"/>
    </row>
    <row r="3159" spans="6:50" x14ac:dyDescent="0.25">
      <c r="AX3159" s="141"/>
    </row>
    <row r="3160" spans="6:50" x14ac:dyDescent="0.25">
      <c r="AX3160" s="141"/>
    </row>
    <row r="3161" spans="6:50" x14ac:dyDescent="0.25">
      <c r="AX3161" s="141"/>
    </row>
    <row r="3162" spans="6:50" x14ac:dyDescent="0.25">
      <c r="AX3162" s="141"/>
    </row>
    <row r="3163" spans="6:50" x14ac:dyDescent="0.25">
      <c r="F3163" s="141"/>
      <c r="AX3163" s="141"/>
    </row>
    <row r="3164" spans="6:50" x14ac:dyDescent="0.25">
      <c r="AX3164" s="141"/>
    </row>
    <row r="3165" spans="6:50" x14ac:dyDescent="0.25">
      <c r="AX3165" s="141"/>
    </row>
    <row r="3166" spans="6:50" x14ac:dyDescent="0.25">
      <c r="AX3166" s="141"/>
    </row>
    <row r="3167" spans="6:50" x14ac:dyDescent="0.25">
      <c r="AX3167" s="141"/>
    </row>
    <row r="3168" spans="6:50" x14ac:dyDescent="0.25">
      <c r="AX3168" s="141"/>
    </row>
    <row r="3169" spans="50:50" x14ac:dyDescent="0.25">
      <c r="AX3169" s="141"/>
    </row>
    <row r="3170" spans="50:50" x14ac:dyDescent="0.25">
      <c r="AX3170" s="141"/>
    </row>
    <row r="3171" spans="50:50" x14ac:dyDescent="0.25">
      <c r="AX3171" s="141"/>
    </row>
    <row r="3172" spans="50:50" x14ac:dyDescent="0.25">
      <c r="AX3172" s="141"/>
    </row>
    <row r="3180" spans="50:50" x14ac:dyDescent="0.25">
      <c r="AX3180" s="141"/>
    </row>
    <row r="3181" spans="50:50" x14ac:dyDescent="0.25">
      <c r="AX3181" s="141"/>
    </row>
    <row r="3182" spans="50:50" x14ac:dyDescent="0.25">
      <c r="AX3182" s="141"/>
    </row>
    <row r="3183" spans="50:50" x14ac:dyDescent="0.25">
      <c r="AX3183" s="141"/>
    </row>
    <row r="3184" spans="50:50" x14ac:dyDescent="0.25">
      <c r="AX3184" s="141"/>
    </row>
    <row r="3185" spans="50:50" x14ac:dyDescent="0.25">
      <c r="AX3185" s="141"/>
    </row>
    <row r="3186" spans="50:50" x14ac:dyDescent="0.25">
      <c r="AX3186" s="141"/>
    </row>
    <row r="3187" spans="50:50" x14ac:dyDescent="0.25">
      <c r="AX3187" s="141"/>
    </row>
    <row r="3188" spans="50:50" x14ac:dyDescent="0.25">
      <c r="AX3188" s="141"/>
    </row>
    <row r="3189" spans="50:50" x14ac:dyDescent="0.25">
      <c r="AX3189" s="141"/>
    </row>
    <row r="3190" spans="50:50" x14ac:dyDescent="0.25">
      <c r="AX3190" s="141"/>
    </row>
    <row r="3191" spans="50:50" x14ac:dyDescent="0.25">
      <c r="AX3191" s="141"/>
    </row>
    <row r="3192" spans="50:50" x14ac:dyDescent="0.25">
      <c r="AX3192" s="141"/>
    </row>
    <row r="3193" spans="50:50" x14ac:dyDescent="0.25">
      <c r="AX3193" s="141"/>
    </row>
    <row r="3204" spans="50:50" x14ac:dyDescent="0.25">
      <c r="AX3204" s="141"/>
    </row>
    <row r="3205" spans="50:50" x14ac:dyDescent="0.25">
      <c r="AX3205" s="141"/>
    </row>
    <row r="3206" spans="50:50" x14ac:dyDescent="0.25">
      <c r="AX3206" s="141"/>
    </row>
    <row r="3207" spans="50:50" x14ac:dyDescent="0.25">
      <c r="AX3207" s="141"/>
    </row>
    <row r="3208" spans="50:50" x14ac:dyDescent="0.25">
      <c r="AX3208" s="141"/>
    </row>
    <row r="3209" spans="50:50" x14ac:dyDescent="0.25">
      <c r="AX3209" s="141"/>
    </row>
    <row r="3210" spans="50:50" x14ac:dyDescent="0.25">
      <c r="AX3210" s="141"/>
    </row>
    <row r="3211" spans="50:50" x14ac:dyDescent="0.25">
      <c r="AX3211" s="141"/>
    </row>
    <row r="3212" spans="50:50" x14ac:dyDescent="0.25">
      <c r="AX3212" s="141"/>
    </row>
    <row r="3213" spans="50:50" x14ac:dyDescent="0.25">
      <c r="AX3213" s="141"/>
    </row>
    <row r="3214" spans="50:50" x14ac:dyDescent="0.25">
      <c r="AX3214" s="141"/>
    </row>
    <row r="3215" spans="50:50" x14ac:dyDescent="0.25">
      <c r="AX3215" s="141"/>
    </row>
    <row r="3216" spans="50:50" x14ac:dyDescent="0.25">
      <c r="AX3216" s="141"/>
    </row>
    <row r="3217" spans="6:50" x14ac:dyDescent="0.25">
      <c r="AX3217" s="141"/>
    </row>
    <row r="3218" spans="6:50" x14ac:dyDescent="0.25">
      <c r="AX3218" s="141"/>
    </row>
    <row r="3224" spans="6:50" x14ac:dyDescent="0.25">
      <c r="F3224" s="141"/>
    </row>
    <row r="3228" spans="6:50" x14ac:dyDescent="0.25">
      <c r="AX3228" s="141"/>
    </row>
    <row r="3229" spans="6:50" x14ac:dyDescent="0.25">
      <c r="AX3229" s="141"/>
    </row>
    <row r="3230" spans="6:50" x14ac:dyDescent="0.25">
      <c r="AX3230" s="141"/>
    </row>
    <row r="3231" spans="6:50" x14ac:dyDescent="0.25">
      <c r="AX3231" s="141"/>
    </row>
    <row r="3232" spans="6:50" x14ac:dyDescent="0.25">
      <c r="AX3232" s="141"/>
    </row>
    <row r="3233" spans="50:50" x14ac:dyDescent="0.25">
      <c r="AX3233" s="141"/>
    </row>
    <row r="3234" spans="50:50" x14ac:dyDescent="0.25">
      <c r="AX3234" s="141"/>
    </row>
    <row r="3235" spans="50:50" x14ac:dyDescent="0.25">
      <c r="AX3235" s="141"/>
    </row>
    <row r="3236" spans="50:50" x14ac:dyDescent="0.25">
      <c r="AX3236" s="141"/>
    </row>
    <row r="3237" spans="50:50" x14ac:dyDescent="0.25">
      <c r="AX3237" s="141"/>
    </row>
    <row r="3238" spans="50:50" x14ac:dyDescent="0.25">
      <c r="AX3238" s="141"/>
    </row>
    <row r="3239" spans="50:50" x14ac:dyDescent="0.25">
      <c r="AX3239" s="141"/>
    </row>
    <row r="3240" spans="50:50" x14ac:dyDescent="0.25">
      <c r="AX3240" s="141"/>
    </row>
    <row r="3241" spans="50:50" x14ac:dyDescent="0.25">
      <c r="AX3241" s="141"/>
    </row>
    <row r="3242" spans="50:50" x14ac:dyDescent="0.25">
      <c r="AX3242" s="141"/>
    </row>
    <row r="3251" spans="50:50" x14ac:dyDescent="0.25">
      <c r="AX3251" s="141"/>
    </row>
    <row r="3252" spans="50:50" x14ac:dyDescent="0.25">
      <c r="AX3252" s="141"/>
    </row>
    <row r="3253" spans="50:50" x14ac:dyDescent="0.25">
      <c r="AX3253" s="141"/>
    </row>
    <row r="3254" spans="50:50" x14ac:dyDescent="0.25">
      <c r="AX3254" s="141"/>
    </row>
    <row r="3255" spans="50:50" x14ac:dyDescent="0.25">
      <c r="AX3255" s="141"/>
    </row>
    <row r="3256" spans="50:50" x14ac:dyDescent="0.25">
      <c r="AX3256" s="141"/>
    </row>
    <row r="3257" spans="50:50" x14ac:dyDescent="0.25">
      <c r="AX3257" s="141"/>
    </row>
    <row r="3258" spans="50:50" x14ac:dyDescent="0.25">
      <c r="AX3258" s="141"/>
    </row>
    <row r="3259" spans="50:50" x14ac:dyDescent="0.25">
      <c r="AX3259" s="141"/>
    </row>
    <row r="3260" spans="50:50" x14ac:dyDescent="0.25">
      <c r="AX3260" s="141"/>
    </row>
    <row r="3261" spans="50:50" x14ac:dyDescent="0.25">
      <c r="AX3261" s="141"/>
    </row>
    <row r="3262" spans="50:50" x14ac:dyDescent="0.25">
      <c r="AX3262" s="141"/>
    </row>
    <row r="3263" spans="50:50" x14ac:dyDescent="0.25">
      <c r="AX3263" s="141"/>
    </row>
    <row r="3264" spans="50:50" x14ac:dyDescent="0.25">
      <c r="AX3264" s="141"/>
    </row>
    <row r="3265" spans="50:50" x14ac:dyDescent="0.25">
      <c r="AX3265" s="141"/>
    </row>
    <row r="3266" spans="50:50" x14ac:dyDescent="0.25">
      <c r="AX3266" s="141"/>
    </row>
    <row r="3275" spans="50:50" x14ac:dyDescent="0.25">
      <c r="AX3275" s="141"/>
    </row>
    <row r="3276" spans="50:50" x14ac:dyDescent="0.25">
      <c r="AX3276" s="141"/>
    </row>
    <row r="3277" spans="50:50" x14ac:dyDescent="0.25">
      <c r="AX3277" s="141"/>
    </row>
    <row r="3278" spans="50:50" x14ac:dyDescent="0.25">
      <c r="AX3278" s="141"/>
    </row>
    <row r="3279" spans="50:50" x14ac:dyDescent="0.25">
      <c r="AX3279" s="141"/>
    </row>
    <row r="3280" spans="50:50" x14ac:dyDescent="0.25">
      <c r="AX3280" s="141"/>
    </row>
    <row r="3281" spans="50:50" x14ac:dyDescent="0.25">
      <c r="AX3281" s="141"/>
    </row>
    <row r="3282" spans="50:50" x14ac:dyDescent="0.25">
      <c r="AX3282" s="141"/>
    </row>
    <row r="3283" spans="50:50" x14ac:dyDescent="0.25">
      <c r="AX3283" s="141"/>
    </row>
    <row r="3284" spans="50:50" x14ac:dyDescent="0.25">
      <c r="AX3284" s="141"/>
    </row>
    <row r="3285" spans="50:50" x14ac:dyDescent="0.25">
      <c r="AX3285" s="141"/>
    </row>
    <row r="3286" spans="50:50" x14ac:dyDescent="0.25">
      <c r="AX3286" s="141"/>
    </row>
    <row r="3287" spans="50:50" x14ac:dyDescent="0.25">
      <c r="AX3287" s="141"/>
    </row>
    <row r="3288" spans="50:50" x14ac:dyDescent="0.25">
      <c r="AX3288" s="141"/>
    </row>
    <row r="3289" spans="50:50" x14ac:dyDescent="0.25">
      <c r="AX3289" s="141"/>
    </row>
    <row r="3300" spans="50:50" x14ac:dyDescent="0.25">
      <c r="AX3300" s="141"/>
    </row>
    <row r="3301" spans="50:50" x14ac:dyDescent="0.25">
      <c r="AX3301" s="141"/>
    </row>
    <row r="3302" spans="50:50" x14ac:dyDescent="0.25">
      <c r="AX3302" s="141"/>
    </row>
    <row r="3303" spans="50:50" x14ac:dyDescent="0.25">
      <c r="AX3303" s="141"/>
    </row>
    <row r="3304" spans="50:50" x14ac:dyDescent="0.25">
      <c r="AX3304" s="141"/>
    </row>
    <row r="3305" spans="50:50" x14ac:dyDescent="0.25">
      <c r="AX3305" s="141"/>
    </row>
    <row r="3306" spans="50:50" x14ac:dyDescent="0.25">
      <c r="AX3306" s="141"/>
    </row>
    <row r="3307" spans="50:50" x14ac:dyDescent="0.25">
      <c r="AX3307" s="141"/>
    </row>
    <row r="3308" spans="50:50" x14ac:dyDescent="0.25">
      <c r="AX3308" s="141"/>
    </row>
    <row r="3309" spans="50:50" x14ac:dyDescent="0.25">
      <c r="AX3309" s="141"/>
    </row>
    <row r="3310" spans="50:50" x14ac:dyDescent="0.25">
      <c r="AX3310" s="141"/>
    </row>
    <row r="3311" spans="50:50" x14ac:dyDescent="0.25">
      <c r="AX3311" s="141"/>
    </row>
    <row r="3312" spans="50:50" x14ac:dyDescent="0.25">
      <c r="AX3312" s="141"/>
    </row>
    <row r="3313" spans="50:50" x14ac:dyDescent="0.25">
      <c r="AX3313" s="141"/>
    </row>
    <row r="3324" spans="50:50" x14ac:dyDescent="0.25">
      <c r="AX3324" s="141"/>
    </row>
    <row r="3325" spans="50:50" x14ac:dyDescent="0.25">
      <c r="AX3325" s="141"/>
    </row>
    <row r="3326" spans="50:50" x14ac:dyDescent="0.25">
      <c r="AX3326" s="141"/>
    </row>
    <row r="3327" spans="50:50" x14ac:dyDescent="0.25">
      <c r="AX3327" s="141"/>
    </row>
    <row r="3328" spans="50:50" x14ac:dyDescent="0.25">
      <c r="AX3328" s="141"/>
    </row>
    <row r="3329" spans="6:50" x14ac:dyDescent="0.25">
      <c r="AX3329" s="141"/>
    </row>
    <row r="3330" spans="6:50" x14ac:dyDescent="0.25">
      <c r="AX3330" s="141"/>
    </row>
    <row r="3331" spans="6:50" x14ac:dyDescent="0.25">
      <c r="AX3331" s="141"/>
    </row>
    <row r="3332" spans="6:50" x14ac:dyDescent="0.25">
      <c r="AX3332" s="141"/>
    </row>
    <row r="3333" spans="6:50" x14ac:dyDescent="0.25">
      <c r="F3333" s="141"/>
      <c r="AX3333" s="141"/>
    </row>
    <row r="3334" spans="6:50" x14ac:dyDescent="0.25">
      <c r="AX3334" s="141"/>
    </row>
    <row r="3335" spans="6:50" x14ac:dyDescent="0.25">
      <c r="AX3335" s="141"/>
    </row>
    <row r="3336" spans="6:50" x14ac:dyDescent="0.25">
      <c r="AX3336" s="141"/>
    </row>
    <row r="3337" spans="6:50" x14ac:dyDescent="0.25">
      <c r="AX3337" s="141"/>
    </row>
    <row r="3338" spans="6:50" x14ac:dyDescent="0.25">
      <c r="AX3338" s="141"/>
    </row>
    <row r="3339" spans="6:50" x14ac:dyDescent="0.25">
      <c r="AX3339" s="141"/>
    </row>
    <row r="3340" spans="6:50" x14ac:dyDescent="0.25">
      <c r="AX3340" s="141"/>
    </row>
    <row r="3341" spans="6:50" x14ac:dyDescent="0.25">
      <c r="AX3341" s="141"/>
    </row>
    <row r="3342" spans="6:50" x14ac:dyDescent="0.25">
      <c r="AX3342" s="141"/>
    </row>
    <row r="3346" spans="50:50" x14ac:dyDescent="0.25">
      <c r="AX3346" s="141"/>
    </row>
    <row r="3347" spans="50:50" x14ac:dyDescent="0.25">
      <c r="AX3347" s="141"/>
    </row>
    <row r="3348" spans="50:50" x14ac:dyDescent="0.25">
      <c r="AX3348" s="141"/>
    </row>
    <row r="3355" spans="50:50" x14ac:dyDescent="0.25">
      <c r="AX3355" s="141"/>
    </row>
    <row r="3356" spans="50:50" x14ac:dyDescent="0.25">
      <c r="AX3356" s="141"/>
    </row>
    <row r="3357" spans="50:50" x14ac:dyDescent="0.25">
      <c r="AX3357" s="141"/>
    </row>
    <row r="3358" spans="50:50" x14ac:dyDescent="0.25">
      <c r="AX3358" s="141"/>
    </row>
    <row r="3359" spans="50:50" x14ac:dyDescent="0.25">
      <c r="AX3359" s="141"/>
    </row>
    <row r="3360" spans="50:50" x14ac:dyDescent="0.25">
      <c r="AX3360" s="141"/>
    </row>
    <row r="3361" spans="50:50" x14ac:dyDescent="0.25">
      <c r="AX3361" s="141"/>
    </row>
    <row r="3362" spans="50:50" x14ac:dyDescent="0.25">
      <c r="AX3362" s="141"/>
    </row>
    <row r="3371" spans="50:50" x14ac:dyDescent="0.25">
      <c r="AX3371" s="141"/>
    </row>
    <row r="3372" spans="50:50" x14ac:dyDescent="0.25">
      <c r="AX3372" s="141"/>
    </row>
    <row r="3377" spans="50:50" x14ac:dyDescent="0.25">
      <c r="AX3377" s="141"/>
    </row>
    <row r="3378" spans="50:50" x14ac:dyDescent="0.25">
      <c r="AX3378" s="141"/>
    </row>
    <row r="3385" spans="50:50" x14ac:dyDescent="0.25">
      <c r="AX3385" s="141"/>
    </row>
    <row r="3386" spans="50:50" x14ac:dyDescent="0.25">
      <c r="AX3386" s="141"/>
    </row>
    <row r="3394" spans="50:50" x14ac:dyDescent="0.25">
      <c r="AX3394" s="141"/>
    </row>
    <row r="3395" spans="50:50" x14ac:dyDescent="0.25">
      <c r="AX3395" s="141"/>
    </row>
    <row r="3396" spans="50:50" x14ac:dyDescent="0.25">
      <c r="AX3396" s="141"/>
    </row>
    <row r="3409" spans="50:50" x14ac:dyDescent="0.25">
      <c r="AX3409" s="141"/>
    </row>
    <row r="3410" spans="50:50" x14ac:dyDescent="0.25">
      <c r="AX3410" s="141"/>
    </row>
    <row r="3411" spans="50:50" x14ac:dyDescent="0.25">
      <c r="AX3411" s="141"/>
    </row>
    <row r="3412" spans="50:50" x14ac:dyDescent="0.25">
      <c r="AX3412" s="141"/>
    </row>
    <row r="3413" spans="50:50" x14ac:dyDescent="0.25">
      <c r="AX3413" s="141"/>
    </row>
    <row r="3414" spans="50:50" x14ac:dyDescent="0.25">
      <c r="AX3414" s="141"/>
    </row>
    <row r="3415" spans="50:50" x14ac:dyDescent="0.25">
      <c r="AX3415" s="141"/>
    </row>
    <row r="3416" spans="50:50" x14ac:dyDescent="0.25">
      <c r="AX3416" s="141"/>
    </row>
    <row r="3417" spans="50:50" x14ac:dyDescent="0.25">
      <c r="AX3417" s="141"/>
    </row>
    <row r="3418" spans="50:50" x14ac:dyDescent="0.25">
      <c r="AX3418" s="141"/>
    </row>
    <row r="3419" spans="50:50" x14ac:dyDescent="0.25">
      <c r="AX3419" s="141"/>
    </row>
    <row r="3427" spans="50:50" x14ac:dyDescent="0.25">
      <c r="AX3427" s="141"/>
    </row>
    <row r="3428" spans="50:50" x14ac:dyDescent="0.25">
      <c r="AX3428" s="141"/>
    </row>
    <row r="3429" spans="50:50" x14ac:dyDescent="0.25">
      <c r="AX3429" s="141"/>
    </row>
    <row r="3430" spans="50:50" x14ac:dyDescent="0.25">
      <c r="AX3430" s="141"/>
    </row>
    <row r="3431" spans="50:50" x14ac:dyDescent="0.25">
      <c r="AX3431" s="141"/>
    </row>
    <row r="3432" spans="50:50" x14ac:dyDescent="0.25">
      <c r="AX3432" s="141"/>
    </row>
    <row r="3433" spans="50:50" x14ac:dyDescent="0.25">
      <c r="AX3433" s="141"/>
    </row>
    <row r="3434" spans="50:50" x14ac:dyDescent="0.25">
      <c r="AX3434" s="141"/>
    </row>
    <row r="3435" spans="50:50" x14ac:dyDescent="0.25">
      <c r="AX3435" s="141"/>
    </row>
    <row r="3436" spans="50:50" x14ac:dyDescent="0.25">
      <c r="AX3436" s="141"/>
    </row>
    <row r="3437" spans="50:50" x14ac:dyDescent="0.25">
      <c r="AX3437" s="141"/>
    </row>
    <row r="3438" spans="50:50" x14ac:dyDescent="0.25">
      <c r="AX3438" s="141"/>
    </row>
    <row r="3439" spans="50:50" x14ac:dyDescent="0.25">
      <c r="AX3439" s="141"/>
    </row>
    <row r="3440" spans="50:50" x14ac:dyDescent="0.25">
      <c r="AX3440" s="141"/>
    </row>
    <row r="3441" spans="50:50" x14ac:dyDescent="0.25">
      <c r="AX3441" s="141"/>
    </row>
    <row r="3442" spans="50:50" x14ac:dyDescent="0.25">
      <c r="AX3442" s="141"/>
    </row>
    <row r="3443" spans="50:50" x14ac:dyDescent="0.25">
      <c r="AX3443" s="141"/>
    </row>
    <row r="3444" spans="50:50" x14ac:dyDescent="0.25">
      <c r="AX3444" s="141"/>
    </row>
    <row r="3448" spans="50:50" x14ac:dyDescent="0.25">
      <c r="AX3448" s="141"/>
    </row>
    <row r="3449" spans="50:50" x14ac:dyDescent="0.25">
      <c r="AX3449" s="141"/>
    </row>
    <row r="3450" spans="50:50" x14ac:dyDescent="0.25">
      <c r="AX3450" s="141"/>
    </row>
    <row r="3451" spans="50:50" x14ac:dyDescent="0.25">
      <c r="AX3451" s="141"/>
    </row>
    <row r="3452" spans="50:50" x14ac:dyDescent="0.25">
      <c r="AX3452" s="141"/>
    </row>
    <row r="3453" spans="50:50" x14ac:dyDescent="0.25">
      <c r="AX3453" s="141"/>
    </row>
    <row r="3454" spans="50:50" x14ac:dyDescent="0.25">
      <c r="AX3454" s="141"/>
    </row>
    <row r="3455" spans="50:50" x14ac:dyDescent="0.25">
      <c r="AX3455" s="141"/>
    </row>
    <row r="3456" spans="50:50" x14ac:dyDescent="0.25">
      <c r="AX3456" s="141"/>
    </row>
    <row r="3457" spans="50:50" x14ac:dyDescent="0.25">
      <c r="AX3457" s="141"/>
    </row>
    <row r="3458" spans="50:50" x14ac:dyDescent="0.25">
      <c r="AX3458" s="141"/>
    </row>
    <row r="3467" spans="50:50" x14ac:dyDescent="0.25">
      <c r="AX3467" s="141"/>
    </row>
    <row r="3468" spans="50:50" x14ac:dyDescent="0.25">
      <c r="AX3468" s="141"/>
    </row>
    <row r="3469" spans="50:50" x14ac:dyDescent="0.25">
      <c r="AX3469" s="141"/>
    </row>
    <row r="3470" spans="50:50" x14ac:dyDescent="0.25">
      <c r="AX3470" s="141"/>
    </row>
    <row r="3471" spans="50:50" x14ac:dyDescent="0.25">
      <c r="AX3471" s="141"/>
    </row>
    <row r="3472" spans="50:50" x14ac:dyDescent="0.25">
      <c r="AX3472" s="141"/>
    </row>
    <row r="3473" spans="50:50" x14ac:dyDescent="0.25">
      <c r="AX3473" s="141"/>
    </row>
    <row r="3474" spans="50:50" x14ac:dyDescent="0.25">
      <c r="AX3474" s="141"/>
    </row>
    <row r="3475" spans="50:50" x14ac:dyDescent="0.25">
      <c r="AX3475" s="141"/>
    </row>
    <row r="3476" spans="50:50" x14ac:dyDescent="0.25">
      <c r="AX3476" s="141"/>
    </row>
    <row r="3477" spans="50:50" x14ac:dyDescent="0.25">
      <c r="AX3477" s="141"/>
    </row>
    <row r="3478" spans="50:50" x14ac:dyDescent="0.25">
      <c r="AX3478" s="141"/>
    </row>
    <row r="3479" spans="50:50" x14ac:dyDescent="0.25">
      <c r="AX3479" s="141"/>
    </row>
    <row r="3480" spans="50:50" x14ac:dyDescent="0.25">
      <c r="AX3480" s="141"/>
    </row>
    <row r="3481" spans="50:50" x14ac:dyDescent="0.25">
      <c r="AX3481" s="141"/>
    </row>
    <row r="3482" spans="50:50" x14ac:dyDescent="0.25">
      <c r="AX3482" s="141"/>
    </row>
    <row r="3492" spans="50:50" x14ac:dyDescent="0.25">
      <c r="AX3492" s="141"/>
    </row>
    <row r="3493" spans="50:50" x14ac:dyDescent="0.25">
      <c r="AX3493" s="141"/>
    </row>
    <row r="3494" spans="50:50" x14ac:dyDescent="0.25">
      <c r="AX3494" s="141"/>
    </row>
    <row r="3495" spans="50:50" x14ac:dyDescent="0.25">
      <c r="AX3495" s="141"/>
    </row>
    <row r="3496" spans="50:50" x14ac:dyDescent="0.25">
      <c r="AX3496" s="141"/>
    </row>
    <row r="3497" spans="50:50" x14ac:dyDescent="0.25">
      <c r="AX3497" s="141"/>
    </row>
    <row r="3498" spans="50:50" x14ac:dyDescent="0.25">
      <c r="AX3498" s="141"/>
    </row>
    <row r="3499" spans="50:50" x14ac:dyDescent="0.25">
      <c r="AX3499" s="141"/>
    </row>
    <row r="3500" spans="50:50" x14ac:dyDescent="0.25">
      <c r="AX3500" s="141"/>
    </row>
    <row r="3501" spans="50:50" x14ac:dyDescent="0.25">
      <c r="AX3501" s="141"/>
    </row>
    <row r="3502" spans="50:50" x14ac:dyDescent="0.25">
      <c r="AX3502" s="141"/>
    </row>
    <row r="3503" spans="50:50" x14ac:dyDescent="0.25">
      <c r="AX3503" s="141"/>
    </row>
    <row r="3504" spans="50:50" x14ac:dyDescent="0.25">
      <c r="AX3504" s="141"/>
    </row>
    <row r="3505" spans="50:50" x14ac:dyDescent="0.25">
      <c r="AX3505" s="141"/>
    </row>
    <row r="3506" spans="50:50" x14ac:dyDescent="0.25">
      <c r="AX3506" s="141"/>
    </row>
    <row r="3507" spans="50:50" x14ac:dyDescent="0.25">
      <c r="AX3507" s="141"/>
    </row>
    <row r="3508" spans="50:50" x14ac:dyDescent="0.25">
      <c r="AX3508" s="141"/>
    </row>
    <row r="3515" spans="50:50" x14ac:dyDescent="0.25">
      <c r="AX3515" s="141"/>
    </row>
    <row r="3516" spans="50:50" x14ac:dyDescent="0.25">
      <c r="AX3516" s="141"/>
    </row>
    <row r="3517" spans="50:50" x14ac:dyDescent="0.25">
      <c r="AX3517" s="141"/>
    </row>
    <row r="3518" spans="50:50" x14ac:dyDescent="0.25">
      <c r="AX3518" s="141"/>
    </row>
    <row r="3519" spans="50:50" x14ac:dyDescent="0.25">
      <c r="AX3519" s="141"/>
    </row>
    <row r="3520" spans="50:50" x14ac:dyDescent="0.25">
      <c r="AX3520" s="141"/>
    </row>
    <row r="3521" spans="50:50" x14ac:dyDescent="0.25">
      <c r="AX3521" s="141"/>
    </row>
    <row r="3522" spans="50:50" x14ac:dyDescent="0.25">
      <c r="AX3522" s="141"/>
    </row>
    <row r="3523" spans="50:50" x14ac:dyDescent="0.25">
      <c r="AX3523" s="141"/>
    </row>
    <row r="3524" spans="50:50" x14ac:dyDescent="0.25">
      <c r="AX3524" s="141"/>
    </row>
    <row r="3525" spans="50:50" x14ac:dyDescent="0.25">
      <c r="AX3525" s="141"/>
    </row>
    <row r="3526" spans="50:50" x14ac:dyDescent="0.25">
      <c r="AX3526" s="141"/>
    </row>
    <row r="3527" spans="50:50" x14ac:dyDescent="0.25">
      <c r="AX3527" s="141"/>
    </row>
    <row r="3528" spans="50:50" x14ac:dyDescent="0.25">
      <c r="AX3528" s="141"/>
    </row>
    <row r="3529" spans="50:50" x14ac:dyDescent="0.25">
      <c r="AX3529" s="141"/>
    </row>
    <row r="3540" spans="50:50" x14ac:dyDescent="0.25">
      <c r="AX3540" s="141"/>
    </row>
    <row r="3541" spans="50:50" x14ac:dyDescent="0.25">
      <c r="AX3541" s="141"/>
    </row>
    <row r="3542" spans="50:50" x14ac:dyDescent="0.25">
      <c r="AX3542" s="141"/>
    </row>
    <row r="3543" spans="50:50" x14ac:dyDescent="0.25">
      <c r="AX3543" s="141"/>
    </row>
    <row r="3544" spans="50:50" x14ac:dyDescent="0.25">
      <c r="AX3544" s="141"/>
    </row>
    <row r="3545" spans="50:50" x14ac:dyDescent="0.25">
      <c r="AX3545" s="141"/>
    </row>
    <row r="3546" spans="50:50" x14ac:dyDescent="0.25">
      <c r="AX3546" s="141"/>
    </row>
    <row r="3547" spans="50:50" x14ac:dyDescent="0.25">
      <c r="AX3547" s="141"/>
    </row>
    <row r="3548" spans="50:50" x14ac:dyDescent="0.25">
      <c r="AX3548" s="141"/>
    </row>
    <row r="3549" spans="50:50" x14ac:dyDescent="0.25">
      <c r="AX3549" s="141"/>
    </row>
    <row r="3550" spans="50:50" x14ac:dyDescent="0.25">
      <c r="AX3550" s="141"/>
    </row>
    <row r="3551" spans="50:50" x14ac:dyDescent="0.25">
      <c r="AX3551" s="141"/>
    </row>
    <row r="3552" spans="50:50" x14ac:dyDescent="0.25">
      <c r="AX3552" s="141"/>
    </row>
    <row r="3553" spans="50:50" x14ac:dyDescent="0.25">
      <c r="AX3553" s="141"/>
    </row>
    <row r="3563" spans="50:50" x14ac:dyDescent="0.25">
      <c r="AX3563" s="141"/>
    </row>
    <row r="3564" spans="50:50" x14ac:dyDescent="0.25">
      <c r="AX3564" s="141"/>
    </row>
    <row r="3565" spans="50:50" x14ac:dyDescent="0.25">
      <c r="AX3565" s="141"/>
    </row>
    <row r="3566" spans="50:50" x14ac:dyDescent="0.25">
      <c r="AX3566" s="141"/>
    </row>
    <row r="3567" spans="50:50" x14ac:dyDescent="0.25">
      <c r="AX3567" s="141"/>
    </row>
    <row r="3568" spans="50:50" x14ac:dyDescent="0.25">
      <c r="AX3568" s="141"/>
    </row>
    <row r="3569" spans="50:50" x14ac:dyDescent="0.25">
      <c r="AX3569" s="141"/>
    </row>
    <row r="3570" spans="50:50" x14ac:dyDescent="0.25">
      <c r="AX3570" s="141"/>
    </row>
    <row r="3571" spans="50:50" x14ac:dyDescent="0.25">
      <c r="AX3571" s="141"/>
    </row>
    <row r="3572" spans="50:50" x14ac:dyDescent="0.25">
      <c r="AX3572" s="141"/>
    </row>
    <row r="3573" spans="50:50" x14ac:dyDescent="0.25">
      <c r="AX3573" s="141"/>
    </row>
    <row r="3574" spans="50:50" x14ac:dyDescent="0.25">
      <c r="AX3574" s="141"/>
    </row>
    <row r="3575" spans="50:50" x14ac:dyDescent="0.25">
      <c r="AX3575" s="141"/>
    </row>
    <row r="3576" spans="50:50" x14ac:dyDescent="0.25">
      <c r="AX3576" s="141"/>
    </row>
    <row r="3577" spans="50:50" x14ac:dyDescent="0.25">
      <c r="AX3577" s="141"/>
    </row>
    <row r="3578" spans="50:50" x14ac:dyDescent="0.25">
      <c r="AX3578" s="141"/>
    </row>
    <row r="3587" spans="50:50" x14ac:dyDescent="0.25">
      <c r="AX3587" s="141"/>
    </row>
    <row r="3588" spans="50:50" x14ac:dyDescent="0.25">
      <c r="AX3588" s="141"/>
    </row>
    <row r="3589" spans="50:50" x14ac:dyDescent="0.25">
      <c r="AX3589" s="141"/>
    </row>
    <row r="3590" spans="50:50" x14ac:dyDescent="0.25">
      <c r="AX3590" s="141"/>
    </row>
    <row r="3591" spans="50:50" x14ac:dyDescent="0.25">
      <c r="AX3591" s="141"/>
    </row>
    <row r="3592" spans="50:50" x14ac:dyDescent="0.25">
      <c r="AX3592" s="141"/>
    </row>
    <row r="3593" spans="50:50" x14ac:dyDescent="0.25">
      <c r="AX3593" s="141"/>
    </row>
    <row r="3594" spans="50:50" x14ac:dyDescent="0.25">
      <c r="AX3594" s="141"/>
    </row>
    <row r="3595" spans="50:50" x14ac:dyDescent="0.25">
      <c r="AX3595" s="141"/>
    </row>
    <row r="3596" spans="50:50" x14ac:dyDescent="0.25">
      <c r="AX3596" s="141"/>
    </row>
    <row r="3597" spans="50:50" x14ac:dyDescent="0.25">
      <c r="AX3597" s="141"/>
    </row>
    <row r="3598" spans="50:50" x14ac:dyDescent="0.25">
      <c r="AX3598" s="141"/>
    </row>
    <row r="3599" spans="50:50" x14ac:dyDescent="0.25">
      <c r="AX3599" s="141"/>
    </row>
    <row r="3600" spans="50:50" x14ac:dyDescent="0.25">
      <c r="AX3600" s="141"/>
    </row>
    <row r="3601" spans="50:50" x14ac:dyDescent="0.25">
      <c r="AX3601" s="141"/>
    </row>
    <row r="3602" spans="50:50" x14ac:dyDescent="0.25">
      <c r="AX3602" s="141"/>
    </row>
    <row r="3611" spans="50:50" x14ac:dyDescent="0.25">
      <c r="AX3611" s="141"/>
    </row>
    <row r="3612" spans="50:50" x14ac:dyDescent="0.25">
      <c r="AX3612" s="141"/>
    </row>
    <row r="3626" spans="50:50" x14ac:dyDescent="0.25">
      <c r="AX3626" s="141"/>
    </row>
    <row r="3627" spans="50:50" x14ac:dyDescent="0.25">
      <c r="AX3627" s="141"/>
    </row>
    <row r="3630" spans="50:50" x14ac:dyDescent="0.25">
      <c r="AX3630" s="141"/>
    </row>
    <row r="3631" spans="50:50" x14ac:dyDescent="0.25">
      <c r="AX3631" s="141"/>
    </row>
    <row r="3634" spans="50:50" x14ac:dyDescent="0.25">
      <c r="AX3634" s="141"/>
    </row>
    <row r="3635" spans="50:50" x14ac:dyDescent="0.25">
      <c r="AX3635" s="141"/>
    </row>
    <row r="3636" spans="50:50" x14ac:dyDescent="0.25">
      <c r="AX3636" s="141"/>
    </row>
    <row r="3643" spans="50:50" x14ac:dyDescent="0.25">
      <c r="AX3643" s="141"/>
    </row>
    <row r="3644" spans="50:50" x14ac:dyDescent="0.25">
      <c r="AX3644" s="141"/>
    </row>
    <row r="3645" spans="50:50" x14ac:dyDescent="0.25">
      <c r="AX3645" s="141"/>
    </row>
    <row r="3646" spans="50:50" x14ac:dyDescent="0.25">
      <c r="AX3646" s="141"/>
    </row>
    <row r="3647" spans="50:50" x14ac:dyDescent="0.25">
      <c r="AX3647" s="141"/>
    </row>
    <row r="3648" spans="50:50" x14ac:dyDescent="0.25">
      <c r="AX3648" s="141"/>
    </row>
    <row r="3649" spans="50:50" x14ac:dyDescent="0.25">
      <c r="AX3649" s="141"/>
    </row>
    <row r="3650" spans="50:50" x14ac:dyDescent="0.25">
      <c r="AX3650" s="141"/>
    </row>
    <row r="3658" spans="50:50" x14ac:dyDescent="0.25">
      <c r="AX3658" s="141"/>
    </row>
    <row r="3659" spans="50:50" x14ac:dyDescent="0.25">
      <c r="AX3659" s="141"/>
    </row>
    <row r="3665" spans="50:50" x14ac:dyDescent="0.25">
      <c r="AX3665" s="141"/>
    </row>
    <row r="3666" spans="50:50" x14ac:dyDescent="0.25">
      <c r="AX3666" s="141"/>
    </row>
    <row r="3668" spans="50:50" x14ac:dyDescent="0.25">
      <c r="AX3668" s="141"/>
    </row>
    <row r="3669" spans="50:50" x14ac:dyDescent="0.25">
      <c r="AX3669" s="141"/>
    </row>
    <row r="3670" spans="50:50" x14ac:dyDescent="0.25">
      <c r="AX3670" s="141"/>
    </row>
    <row r="3671" spans="50:50" x14ac:dyDescent="0.25">
      <c r="AX3671" s="141"/>
    </row>
    <row r="3672" spans="50:50" x14ac:dyDescent="0.25">
      <c r="AX3672" s="141"/>
    </row>
    <row r="3673" spans="50:50" x14ac:dyDescent="0.25">
      <c r="AX3673" s="141"/>
    </row>
    <row r="3674" spans="50:50" x14ac:dyDescent="0.25">
      <c r="AX3674" s="141"/>
    </row>
    <row r="3683" spans="50:50" x14ac:dyDescent="0.25">
      <c r="AX3683" s="141"/>
    </row>
    <row r="3684" spans="50:50" x14ac:dyDescent="0.25">
      <c r="AX3684" s="141"/>
    </row>
    <row r="3697" spans="50:50" x14ac:dyDescent="0.25">
      <c r="AX3697" s="141"/>
    </row>
    <row r="3698" spans="50:50" x14ac:dyDescent="0.25">
      <c r="AX3698" s="141"/>
    </row>
    <row r="3699" spans="50:50" x14ac:dyDescent="0.25">
      <c r="AX3699" s="141"/>
    </row>
    <row r="3702" spans="50:50" x14ac:dyDescent="0.25">
      <c r="AX3702" s="141"/>
    </row>
    <row r="3703" spans="50:50" x14ac:dyDescent="0.25">
      <c r="AX3703" s="141"/>
    </row>
    <row r="3706" spans="50:50" x14ac:dyDescent="0.25">
      <c r="AX3706" s="141"/>
    </row>
    <row r="3707" spans="50:50" x14ac:dyDescent="0.25">
      <c r="AX3707" s="141"/>
    </row>
    <row r="3708" spans="50:50" x14ac:dyDescent="0.25">
      <c r="AX3708" s="141"/>
    </row>
    <row r="3721" spans="50:50" x14ac:dyDescent="0.25">
      <c r="AX3721" s="141"/>
    </row>
    <row r="3722" spans="50:50" x14ac:dyDescent="0.25">
      <c r="AX3722" s="141"/>
    </row>
    <row r="3723" spans="50:50" x14ac:dyDescent="0.25">
      <c r="AX3723" s="141"/>
    </row>
    <row r="3730" spans="50:50" x14ac:dyDescent="0.25">
      <c r="AX3730" s="141"/>
    </row>
    <row r="3731" spans="50:50" x14ac:dyDescent="0.25">
      <c r="AX3731" s="141"/>
    </row>
    <row r="3732" spans="50:50" x14ac:dyDescent="0.25">
      <c r="AX3732" s="141"/>
    </row>
    <row r="3745" spans="50:50" x14ac:dyDescent="0.25">
      <c r="AX3745" s="141"/>
    </row>
    <row r="3746" spans="50:50" x14ac:dyDescent="0.25">
      <c r="AX3746" s="141"/>
    </row>
    <row r="3755" spans="50:50" x14ac:dyDescent="0.25">
      <c r="AX3755" s="141"/>
    </row>
    <row r="3756" spans="50:50" x14ac:dyDescent="0.25">
      <c r="AX3756" s="141"/>
    </row>
    <row r="3769" spans="50:50" x14ac:dyDescent="0.25">
      <c r="AX3769" s="141"/>
    </row>
    <row r="3770" spans="50:50" x14ac:dyDescent="0.25">
      <c r="AX3770" s="141"/>
    </row>
    <row r="3778" spans="50:50" x14ac:dyDescent="0.25">
      <c r="AX3778" s="141"/>
    </row>
    <row r="3779" spans="50:50" x14ac:dyDescent="0.25">
      <c r="AX3779" s="141"/>
    </row>
    <row r="3780" spans="50:50" x14ac:dyDescent="0.25">
      <c r="AX3780" s="141"/>
    </row>
    <row r="3793" spans="50:50" x14ac:dyDescent="0.25">
      <c r="AX3793" s="141"/>
    </row>
    <row r="3794" spans="50:50" x14ac:dyDescent="0.25">
      <c r="AX3794" s="141"/>
    </row>
    <row r="3795" spans="50:50" x14ac:dyDescent="0.25">
      <c r="AX3795" s="141"/>
    </row>
    <row r="3796" spans="50:50" x14ac:dyDescent="0.25">
      <c r="AX3796" s="141"/>
    </row>
    <row r="3797" spans="50:50" x14ac:dyDescent="0.25">
      <c r="AX3797" s="141"/>
    </row>
    <row r="3801" spans="50:50" x14ac:dyDescent="0.25">
      <c r="AX3801" s="141"/>
    </row>
    <row r="3802" spans="50:50" x14ac:dyDescent="0.25">
      <c r="AX3802" s="141"/>
    </row>
    <row r="3803" spans="50:50" x14ac:dyDescent="0.25">
      <c r="AX3803" s="141"/>
    </row>
    <row r="3811" spans="50:50" x14ac:dyDescent="0.25">
      <c r="AX3811" s="141"/>
    </row>
    <row r="3812" spans="50:50" x14ac:dyDescent="0.25">
      <c r="AX3812" s="141"/>
    </row>
    <row r="3813" spans="50:50" x14ac:dyDescent="0.25">
      <c r="AX3813" s="141"/>
    </row>
    <row r="3814" spans="50:50" x14ac:dyDescent="0.25">
      <c r="AX3814" s="141"/>
    </row>
    <row r="3815" spans="50:50" x14ac:dyDescent="0.25">
      <c r="AX3815" s="141"/>
    </row>
    <row r="3816" spans="50:50" x14ac:dyDescent="0.25">
      <c r="AX3816" s="141"/>
    </row>
    <row r="3817" spans="50:50" x14ac:dyDescent="0.25">
      <c r="AX3817" s="141"/>
    </row>
    <row r="3818" spans="50:50" x14ac:dyDescent="0.25">
      <c r="AX3818" s="141"/>
    </row>
    <row r="3819" spans="50:50" x14ac:dyDescent="0.25">
      <c r="AX3819" s="141"/>
    </row>
    <row r="3820" spans="50:50" x14ac:dyDescent="0.25">
      <c r="AX3820" s="141"/>
    </row>
    <row r="3821" spans="50:50" x14ac:dyDescent="0.25">
      <c r="AX3821" s="141"/>
    </row>
    <row r="3822" spans="50:50" x14ac:dyDescent="0.25">
      <c r="AX3822" s="141"/>
    </row>
    <row r="3823" spans="50:50" x14ac:dyDescent="0.25">
      <c r="AX3823" s="141"/>
    </row>
    <row r="3824" spans="50:50" x14ac:dyDescent="0.25">
      <c r="AX3824" s="141"/>
    </row>
    <row r="3825" spans="50:50" x14ac:dyDescent="0.25">
      <c r="AX3825" s="141"/>
    </row>
    <row r="3826" spans="50:50" x14ac:dyDescent="0.25">
      <c r="AX3826" s="141"/>
    </row>
    <row r="3827" spans="50:50" x14ac:dyDescent="0.25">
      <c r="AX3827" s="141"/>
    </row>
    <row r="3828" spans="50:50" x14ac:dyDescent="0.25">
      <c r="AX3828" s="141"/>
    </row>
    <row r="3833" spans="50:50" x14ac:dyDescent="0.25">
      <c r="AX3833" s="141"/>
    </row>
    <row r="3834" spans="50:50" x14ac:dyDescent="0.25">
      <c r="AX3834" s="141"/>
    </row>
    <row r="3835" spans="50:50" x14ac:dyDescent="0.25">
      <c r="AX3835" s="141"/>
    </row>
    <row r="3836" spans="50:50" x14ac:dyDescent="0.25">
      <c r="AX3836" s="141"/>
    </row>
    <row r="3837" spans="50:50" x14ac:dyDescent="0.25">
      <c r="AX3837" s="141"/>
    </row>
    <row r="3838" spans="50:50" x14ac:dyDescent="0.25">
      <c r="AX3838" s="141"/>
    </row>
    <row r="3839" spans="50:50" x14ac:dyDescent="0.25">
      <c r="AX3839" s="141"/>
    </row>
    <row r="3840" spans="50:50" x14ac:dyDescent="0.25">
      <c r="AX3840" s="141"/>
    </row>
    <row r="3841" spans="50:50" x14ac:dyDescent="0.25">
      <c r="AX3841" s="141"/>
    </row>
    <row r="3842" spans="50:50" x14ac:dyDescent="0.25">
      <c r="AX3842" s="141"/>
    </row>
    <row r="3843" spans="50:50" x14ac:dyDescent="0.25">
      <c r="AX3843" s="141"/>
    </row>
    <row r="3851" spans="50:50" x14ac:dyDescent="0.25">
      <c r="AX3851" s="141"/>
    </row>
    <row r="3852" spans="50:50" x14ac:dyDescent="0.25">
      <c r="AX3852" s="141"/>
    </row>
    <row r="3856" spans="50:50" x14ac:dyDescent="0.25">
      <c r="AX3856" s="141"/>
    </row>
    <row r="3857" spans="50:50" x14ac:dyDescent="0.25">
      <c r="AX3857" s="141"/>
    </row>
    <row r="3858" spans="50:50" x14ac:dyDescent="0.25">
      <c r="AX3858" s="141"/>
    </row>
    <row r="3865" spans="50:50" x14ac:dyDescent="0.25">
      <c r="AX3865" s="141"/>
    </row>
    <row r="3866" spans="50:50" x14ac:dyDescent="0.25">
      <c r="AX3866" s="141"/>
    </row>
    <row r="3867" spans="50:50" x14ac:dyDescent="0.25">
      <c r="AX3867" s="141"/>
    </row>
    <row r="3868" spans="50:50" x14ac:dyDescent="0.25">
      <c r="AX3868" s="141"/>
    </row>
    <row r="3874" spans="50:50" x14ac:dyDescent="0.25">
      <c r="AX3874" s="141"/>
    </row>
    <row r="3875" spans="50:50" x14ac:dyDescent="0.25">
      <c r="AX3875" s="141"/>
    </row>
    <row r="3876" spans="50:50" x14ac:dyDescent="0.25">
      <c r="AX3876" s="141"/>
    </row>
    <row r="3889" spans="50:50" x14ac:dyDescent="0.25">
      <c r="AX3889" s="141"/>
    </row>
    <row r="3890" spans="50:50" x14ac:dyDescent="0.25">
      <c r="AX3890" s="141"/>
    </row>
    <row r="3891" spans="50:50" x14ac:dyDescent="0.25">
      <c r="AX3891" s="141"/>
    </row>
    <row r="3897" spans="50:50" x14ac:dyDescent="0.25">
      <c r="AX3897" s="141"/>
    </row>
    <row r="3898" spans="50:50" x14ac:dyDescent="0.25">
      <c r="AX3898" s="141"/>
    </row>
    <row r="3899" spans="50:50" x14ac:dyDescent="0.25">
      <c r="AX3899" s="141"/>
    </row>
    <row r="3907" spans="50:50" x14ac:dyDescent="0.25">
      <c r="AX3907" s="141"/>
    </row>
    <row r="3908" spans="50:50" x14ac:dyDescent="0.25">
      <c r="AX3908" s="141"/>
    </row>
    <row r="3909" spans="50:50" x14ac:dyDescent="0.25">
      <c r="AX3909" s="141"/>
    </row>
    <row r="3910" spans="50:50" x14ac:dyDescent="0.25">
      <c r="AX3910" s="141"/>
    </row>
    <row r="3911" spans="50:50" x14ac:dyDescent="0.25">
      <c r="AX3911" s="141"/>
    </row>
    <row r="3912" spans="50:50" x14ac:dyDescent="0.25">
      <c r="AX3912" s="141"/>
    </row>
    <row r="3913" spans="50:50" x14ac:dyDescent="0.25">
      <c r="AX3913" s="141"/>
    </row>
    <row r="3914" spans="50:50" x14ac:dyDescent="0.25">
      <c r="AX3914" s="141"/>
    </row>
    <row r="3921" spans="50:50" x14ac:dyDescent="0.25">
      <c r="AX3921" s="141"/>
    </row>
    <row r="3922" spans="50:50" x14ac:dyDescent="0.25">
      <c r="AX3922" s="141"/>
    </row>
    <row r="3923" spans="50:50" x14ac:dyDescent="0.25">
      <c r="AX3923" s="141"/>
    </row>
    <row r="3924" spans="50:50" x14ac:dyDescent="0.25">
      <c r="AX3924" s="141"/>
    </row>
    <row r="3936" spans="50:50" x14ac:dyDescent="0.25">
      <c r="AX3936" s="141"/>
    </row>
    <row r="3937" spans="50:50" x14ac:dyDescent="0.25">
      <c r="AX3937" s="141"/>
    </row>
    <row r="3938" spans="50:50" x14ac:dyDescent="0.25">
      <c r="AX3938" s="141"/>
    </row>
    <row r="3947" spans="50:50" x14ac:dyDescent="0.25">
      <c r="AX3947" s="141"/>
    </row>
    <row r="3948" spans="50:50" x14ac:dyDescent="0.25">
      <c r="AX3948" s="141"/>
    </row>
    <row r="3955" spans="50:50" x14ac:dyDescent="0.25">
      <c r="AX3955" s="141"/>
    </row>
    <row r="3956" spans="50:50" x14ac:dyDescent="0.25">
      <c r="AX3956" s="141"/>
    </row>
    <row r="3957" spans="50:50" x14ac:dyDescent="0.25">
      <c r="AX3957" s="141"/>
    </row>
    <row r="3958" spans="50:50" x14ac:dyDescent="0.25">
      <c r="AX3958" s="141"/>
    </row>
    <row r="3959" spans="50:50" x14ac:dyDescent="0.25">
      <c r="AX3959" s="141"/>
    </row>
    <row r="3960" spans="50:50" x14ac:dyDescent="0.25">
      <c r="AX3960" s="141"/>
    </row>
    <row r="3961" spans="50:50" x14ac:dyDescent="0.25">
      <c r="AX3961" s="141"/>
    </row>
    <row r="3962" spans="50:50" x14ac:dyDescent="0.25">
      <c r="AX3962" s="141"/>
    </row>
    <row r="3968" spans="50:50" x14ac:dyDescent="0.25">
      <c r="AX3968" s="141"/>
    </row>
    <row r="3969" spans="50:50" x14ac:dyDescent="0.25">
      <c r="AX3969" s="141"/>
    </row>
    <row r="3970" spans="50:50" x14ac:dyDescent="0.25">
      <c r="AX3970" s="141"/>
    </row>
    <row r="3971" spans="50:50" x14ac:dyDescent="0.25">
      <c r="AX3971" s="141"/>
    </row>
    <row r="3972" spans="50:50" x14ac:dyDescent="0.25">
      <c r="AX3972" s="141"/>
    </row>
    <row r="3978" spans="50:50" x14ac:dyDescent="0.25">
      <c r="AX3978" s="141"/>
    </row>
    <row r="3979" spans="50:50" x14ac:dyDescent="0.25">
      <c r="AX3979" s="141"/>
    </row>
    <row r="3980" spans="50:50" x14ac:dyDescent="0.25">
      <c r="AX3980" s="141"/>
    </row>
    <row r="3981" spans="50:50" x14ac:dyDescent="0.25">
      <c r="AX3981" s="141"/>
    </row>
    <row r="3982" spans="50:50" x14ac:dyDescent="0.25">
      <c r="AX3982" s="141"/>
    </row>
    <row r="3983" spans="50:50" x14ac:dyDescent="0.25">
      <c r="AX3983" s="141"/>
    </row>
    <row r="3984" spans="50:50" x14ac:dyDescent="0.25">
      <c r="AX3984" s="141"/>
    </row>
    <row r="3985" spans="50:50" x14ac:dyDescent="0.25">
      <c r="AX3985" s="141"/>
    </row>
    <row r="3996" spans="50:50" x14ac:dyDescent="0.25">
      <c r="AX3996" s="141"/>
    </row>
    <row r="3997" spans="50:50" x14ac:dyDescent="0.25">
      <c r="AX3997" s="141"/>
    </row>
    <row r="3998" spans="50:50" x14ac:dyDescent="0.25">
      <c r="AX3998" s="141"/>
    </row>
    <row r="3999" spans="50:50" x14ac:dyDescent="0.25">
      <c r="AX3999" s="141"/>
    </row>
    <row r="4000" spans="50:50" x14ac:dyDescent="0.25">
      <c r="AX4000" s="141"/>
    </row>
    <row r="4001" spans="50:50" x14ac:dyDescent="0.25">
      <c r="AX4001" s="141"/>
    </row>
    <row r="4002" spans="50:50" x14ac:dyDescent="0.25">
      <c r="AX4002" s="141"/>
    </row>
    <row r="4003" spans="50:50" x14ac:dyDescent="0.25">
      <c r="AX4003" s="141"/>
    </row>
    <row r="4004" spans="50:50" x14ac:dyDescent="0.25">
      <c r="AX4004" s="141"/>
    </row>
    <row r="4005" spans="50:50" x14ac:dyDescent="0.25">
      <c r="AX4005" s="141"/>
    </row>
    <row r="4006" spans="50:50" x14ac:dyDescent="0.25">
      <c r="AX4006" s="141"/>
    </row>
    <row r="4007" spans="50:50" x14ac:dyDescent="0.25">
      <c r="AX4007" s="141"/>
    </row>
    <row r="4008" spans="50:50" x14ac:dyDescent="0.25">
      <c r="AX4008" s="141"/>
    </row>
    <row r="4009" spans="50:50" x14ac:dyDescent="0.25">
      <c r="AX4009" s="141"/>
    </row>
    <row r="4020" spans="50:50" x14ac:dyDescent="0.25">
      <c r="AX4020" s="141"/>
    </row>
    <row r="4021" spans="50:50" x14ac:dyDescent="0.25">
      <c r="AX4021" s="141"/>
    </row>
    <row r="4022" spans="50:50" x14ac:dyDescent="0.25">
      <c r="AX4022" s="141"/>
    </row>
    <row r="4023" spans="50:50" x14ac:dyDescent="0.25">
      <c r="AX4023" s="141"/>
    </row>
    <row r="4024" spans="50:50" x14ac:dyDescent="0.25">
      <c r="AX4024" s="141"/>
    </row>
    <row r="4025" spans="50:50" x14ac:dyDescent="0.25">
      <c r="AX4025" s="141"/>
    </row>
    <row r="4026" spans="50:50" x14ac:dyDescent="0.25">
      <c r="AX4026" s="141"/>
    </row>
    <row r="4027" spans="50:50" x14ac:dyDescent="0.25">
      <c r="AX4027" s="141"/>
    </row>
    <row r="4028" spans="50:50" x14ac:dyDescent="0.25">
      <c r="AX4028" s="141"/>
    </row>
    <row r="4029" spans="50:50" x14ac:dyDescent="0.25">
      <c r="AX4029" s="141"/>
    </row>
    <row r="4030" spans="50:50" x14ac:dyDescent="0.25">
      <c r="AX4030" s="141"/>
    </row>
    <row r="4031" spans="50:50" x14ac:dyDescent="0.25">
      <c r="AX4031" s="141"/>
    </row>
    <row r="4032" spans="50:50" x14ac:dyDescent="0.25">
      <c r="AX4032" s="141"/>
    </row>
    <row r="4033" spans="50:50" x14ac:dyDescent="0.25">
      <c r="AX4033" s="141"/>
    </row>
    <row r="4034" spans="50:50" x14ac:dyDescent="0.25">
      <c r="AX4034" s="141"/>
    </row>
    <row r="4043" spans="50:50" x14ac:dyDescent="0.25">
      <c r="AX4043" s="141"/>
    </row>
    <row r="4044" spans="50:50" x14ac:dyDescent="0.25">
      <c r="AX4044" s="141"/>
    </row>
    <row r="4049" spans="50:50" x14ac:dyDescent="0.25">
      <c r="AX4049" s="141"/>
    </row>
    <row r="4050" spans="50:50" x14ac:dyDescent="0.25">
      <c r="AX4050" s="141"/>
    </row>
    <row r="4051" spans="50:50" x14ac:dyDescent="0.25">
      <c r="AX4051" s="141"/>
    </row>
    <row r="4052" spans="50:50" x14ac:dyDescent="0.25">
      <c r="AX4052" s="141"/>
    </row>
    <row r="4053" spans="50:50" x14ac:dyDescent="0.25">
      <c r="AX4053" s="141"/>
    </row>
    <row r="4054" spans="50:50" x14ac:dyDescent="0.25">
      <c r="AX4054" s="141"/>
    </row>
    <row r="4055" spans="50:50" x14ac:dyDescent="0.25">
      <c r="AX4055" s="141"/>
    </row>
    <row r="4056" spans="50:50" x14ac:dyDescent="0.25">
      <c r="AX4056" s="141"/>
    </row>
    <row r="4057" spans="50:50" x14ac:dyDescent="0.25">
      <c r="AX4057" s="141"/>
    </row>
    <row r="4058" spans="50:50" x14ac:dyDescent="0.25">
      <c r="AX4058" s="141"/>
    </row>
    <row r="4067" spans="50:50" x14ac:dyDescent="0.25">
      <c r="AX4067" s="141"/>
    </row>
    <row r="4068" spans="50:50" x14ac:dyDescent="0.25">
      <c r="AX4068" s="141"/>
    </row>
    <row r="4070" spans="50:50" x14ac:dyDescent="0.25">
      <c r="AX4070" s="141"/>
    </row>
    <row r="4071" spans="50:50" x14ac:dyDescent="0.25">
      <c r="AX4071" s="141"/>
    </row>
    <row r="4072" spans="50:50" x14ac:dyDescent="0.25">
      <c r="AX4072" s="141"/>
    </row>
    <row r="4073" spans="50:50" x14ac:dyDescent="0.25">
      <c r="AX4073" s="141"/>
    </row>
    <row r="4074" spans="50:50" x14ac:dyDescent="0.25">
      <c r="AX4074" s="141"/>
    </row>
    <row r="4075" spans="50:50" x14ac:dyDescent="0.25">
      <c r="AX4075" s="141"/>
    </row>
    <row r="4076" spans="50:50" x14ac:dyDescent="0.25">
      <c r="AX4076" s="141"/>
    </row>
    <row r="4077" spans="50:50" x14ac:dyDescent="0.25">
      <c r="AX4077" s="141"/>
    </row>
    <row r="4078" spans="50:50" x14ac:dyDescent="0.25">
      <c r="AX4078" s="141"/>
    </row>
    <row r="4079" spans="50:50" x14ac:dyDescent="0.25">
      <c r="AX4079" s="141"/>
    </row>
    <row r="4080" spans="50:50" x14ac:dyDescent="0.25">
      <c r="AX4080" s="141"/>
    </row>
    <row r="4081" spans="50:50" x14ac:dyDescent="0.25">
      <c r="AX4081" s="141"/>
    </row>
    <row r="4082" spans="50:50" x14ac:dyDescent="0.25">
      <c r="AX4082" s="141"/>
    </row>
    <row r="4091" spans="50:50" x14ac:dyDescent="0.25">
      <c r="AX4091" s="141"/>
    </row>
    <row r="4092" spans="50:50" x14ac:dyDescent="0.25">
      <c r="AX4092" s="141"/>
    </row>
    <row r="4096" spans="50:50" x14ac:dyDescent="0.25">
      <c r="AX4096" s="141"/>
    </row>
    <row r="4097" spans="50:50" x14ac:dyDescent="0.25">
      <c r="AX4097" s="141"/>
    </row>
    <row r="4098" spans="50:50" x14ac:dyDescent="0.25">
      <c r="AX4098" s="141"/>
    </row>
    <row r="4099" spans="50:50" x14ac:dyDescent="0.25">
      <c r="AX4099" s="141"/>
    </row>
    <row r="4100" spans="50:50" x14ac:dyDescent="0.25">
      <c r="AX4100" s="141"/>
    </row>
    <row r="4101" spans="50:50" x14ac:dyDescent="0.25">
      <c r="AX4101" s="141"/>
    </row>
    <row r="4102" spans="50:50" x14ac:dyDescent="0.25">
      <c r="AX4102" s="141"/>
    </row>
    <row r="4103" spans="50:50" x14ac:dyDescent="0.25">
      <c r="AX4103" s="141"/>
    </row>
    <row r="4104" spans="50:50" x14ac:dyDescent="0.25">
      <c r="AX4104" s="141"/>
    </row>
    <row r="4105" spans="50:50" x14ac:dyDescent="0.25">
      <c r="AX4105" s="141"/>
    </row>
    <row r="4106" spans="50:50" x14ac:dyDescent="0.25">
      <c r="AX4106" s="141"/>
    </row>
    <row r="4113" spans="50:50" x14ac:dyDescent="0.25">
      <c r="AX4113" s="141"/>
    </row>
    <row r="4114" spans="50:50" x14ac:dyDescent="0.25">
      <c r="AX4114" s="141"/>
    </row>
    <row r="4115" spans="50:50" x14ac:dyDescent="0.25">
      <c r="AX4115" s="141"/>
    </row>
    <row r="4116" spans="50:50" x14ac:dyDescent="0.25">
      <c r="AX4116" s="141"/>
    </row>
    <row r="4121" spans="50:50" x14ac:dyDescent="0.25">
      <c r="AX4121" s="141"/>
    </row>
    <row r="4122" spans="50:50" x14ac:dyDescent="0.25">
      <c r="AX4122" s="141"/>
    </row>
    <row r="4123" spans="50:50" x14ac:dyDescent="0.25">
      <c r="AX4123" s="141"/>
    </row>
    <row r="4124" spans="50:50" x14ac:dyDescent="0.25">
      <c r="AX4124" s="141"/>
    </row>
    <row r="4125" spans="50:50" x14ac:dyDescent="0.25">
      <c r="AX4125" s="141"/>
    </row>
    <row r="4126" spans="50:50" x14ac:dyDescent="0.25">
      <c r="AX4126" s="141"/>
    </row>
    <row r="4127" spans="50:50" x14ac:dyDescent="0.25">
      <c r="AX4127" s="141"/>
    </row>
    <row r="4128" spans="50:50" x14ac:dyDescent="0.25">
      <c r="AX4128" s="141"/>
    </row>
    <row r="4129" spans="50:50" x14ac:dyDescent="0.25">
      <c r="AX4129" s="141"/>
    </row>
    <row r="4130" spans="50:50" x14ac:dyDescent="0.25">
      <c r="AX4130" s="141"/>
    </row>
    <row r="4138" spans="50:50" x14ac:dyDescent="0.25">
      <c r="AX4138" s="141"/>
    </row>
    <row r="4139" spans="50:50" x14ac:dyDescent="0.25">
      <c r="AX4139" s="141"/>
    </row>
    <row r="4140" spans="50:50" x14ac:dyDescent="0.25">
      <c r="AX4140" s="141"/>
    </row>
    <row r="4141" spans="50:50" x14ac:dyDescent="0.25">
      <c r="AX4141" s="141"/>
    </row>
    <row r="4144" spans="50:50" x14ac:dyDescent="0.25">
      <c r="AX4144" s="141"/>
    </row>
    <row r="4145" spans="50:50" x14ac:dyDescent="0.25">
      <c r="AX4145" s="141"/>
    </row>
    <row r="4146" spans="50:50" x14ac:dyDescent="0.25">
      <c r="AX4146" s="141"/>
    </row>
    <row r="4147" spans="50:50" x14ac:dyDescent="0.25">
      <c r="AX4147" s="141"/>
    </row>
    <row r="4148" spans="50:50" x14ac:dyDescent="0.25">
      <c r="AX4148" s="141"/>
    </row>
    <row r="4149" spans="50:50" x14ac:dyDescent="0.25">
      <c r="AX4149" s="141"/>
    </row>
    <row r="4150" spans="50:50" x14ac:dyDescent="0.25">
      <c r="AX4150" s="141"/>
    </row>
    <row r="4151" spans="50:50" x14ac:dyDescent="0.25">
      <c r="AX4151" s="141"/>
    </row>
    <row r="4152" spans="50:50" x14ac:dyDescent="0.25">
      <c r="AX4152" s="141"/>
    </row>
    <row r="4153" spans="50:50" x14ac:dyDescent="0.25">
      <c r="AX4153" s="141"/>
    </row>
    <row r="4154" spans="50:50" x14ac:dyDescent="0.25">
      <c r="AX4154" s="141"/>
    </row>
    <row r="4163" spans="50:50" x14ac:dyDescent="0.25">
      <c r="AX4163" s="141"/>
    </row>
    <row r="4164" spans="50:50" x14ac:dyDescent="0.25">
      <c r="AX4164" s="141"/>
    </row>
    <row r="4165" spans="50:50" x14ac:dyDescent="0.25">
      <c r="AX4165" s="141"/>
    </row>
    <row r="4166" spans="50:50" x14ac:dyDescent="0.25">
      <c r="AX4166" s="141"/>
    </row>
    <row r="4167" spans="50:50" x14ac:dyDescent="0.25">
      <c r="AX4167" s="141"/>
    </row>
    <row r="4168" spans="50:50" x14ac:dyDescent="0.25">
      <c r="AX4168" s="141"/>
    </row>
    <row r="4169" spans="50:50" x14ac:dyDescent="0.25">
      <c r="AX4169" s="141"/>
    </row>
    <row r="4170" spans="50:50" x14ac:dyDescent="0.25">
      <c r="AX4170" s="141"/>
    </row>
    <row r="4177" spans="50:50" x14ac:dyDescent="0.25">
      <c r="AX4177" s="141"/>
    </row>
    <row r="4178" spans="50:50" x14ac:dyDescent="0.25">
      <c r="AX4178" s="141"/>
    </row>
    <row r="4179" spans="50:50" x14ac:dyDescent="0.25">
      <c r="AX4179" s="141"/>
    </row>
    <row r="4180" spans="50:50" x14ac:dyDescent="0.25">
      <c r="AX4180" s="141"/>
    </row>
    <row r="4181" spans="50:50" x14ac:dyDescent="0.25">
      <c r="AX4181" s="141"/>
    </row>
    <row r="4182" spans="50:50" x14ac:dyDescent="0.25">
      <c r="AX4182" s="141"/>
    </row>
    <row r="4183" spans="50:50" x14ac:dyDescent="0.25">
      <c r="AX4183" s="141"/>
    </row>
    <row r="4184" spans="50:50" x14ac:dyDescent="0.25">
      <c r="AX4184" s="141"/>
    </row>
    <row r="4185" spans="50:50" x14ac:dyDescent="0.25">
      <c r="AX4185" s="141"/>
    </row>
    <row r="4186" spans="50:50" x14ac:dyDescent="0.25">
      <c r="AX4186" s="141"/>
    </row>
    <row r="4187" spans="50:50" x14ac:dyDescent="0.25">
      <c r="AX4187" s="141"/>
    </row>
    <row r="4202" spans="50:50" x14ac:dyDescent="0.25">
      <c r="AX4202" s="141"/>
    </row>
    <row r="4203" spans="50:50" x14ac:dyDescent="0.25">
      <c r="AX4203" s="141"/>
    </row>
    <row r="4204" spans="50:50" x14ac:dyDescent="0.25">
      <c r="AX4204" s="141"/>
    </row>
    <row r="4205" spans="50:50" x14ac:dyDescent="0.25">
      <c r="AX4205" s="141"/>
    </row>
    <row r="4206" spans="50:50" x14ac:dyDescent="0.25">
      <c r="AX4206" s="141"/>
    </row>
    <row r="4207" spans="50:50" x14ac:dyDescent="0.25">
      <c r="AX4207" s="141"/>
    </row>
    <row r="4208" spans="50:50" x14ac:dyDescent="0.25">
      <c r="AX4208" s="141"/>
    </row>
    <row r="4209" spans="50:50" x14ac:dyDescent="0.25">
      <c r="AX4209" s="141"/>
    </row>
    <row r="4210" spans="50:50" x14ac:dyDescent="0.25">
      <c r="AX4210" s="141"/>
    </row>
    <row r="4225" spans="50:50" x14ac:dyDescent="0.25">
      <c r="AX4225" s="141"/>
    </row>
    <row r="4226" spans="50:50" x14ac:dyDescent="0.25">
      <c r="AX4226" s="141"/>
    </row>
    <row r="4227" spans="50:50" x14ac:dyDescent="0.25">
      <c r="AX4227" s="141"/>
    </row>
    <row r="4228" spans="50:50" x14ac:dyDescent="0.25">
      <c r="AX4228" s="141"/>
    </row>
    <row r="4229" spans="50:50" x14ac:dyDescent="0.25">
      <c r="AX4229" s="141"/>
    </row>
    <row r="4230" spans="50:50" x14ac:dyDescent="0.25">
      <c r="AX4230" s="141"/>
    </row>
    <row r="4231" spans="50:50" x14ac:dyDescent="0.25">
      <c r="AX4231" s="141"/>
    </row>
    <row r="4232" spans="50:50" x14ac:dyDescent="0.25">
      <c r="AX4232" s="141"/>
    </row>
    <row r="4233" spans="50:50" x14ac:dyDescent="0.25">
      <c r="AX4233" s="141"/>
    </row>
    <row r="4234" spans="50:50" x14ac:dyDescent="0.25">
      <c r="AX4234" s="141"/>
    </row>
    <row r="4235" spans="50:50" x14ac:dyDescent="0.25">
      <c r="AX4235" s="141"/>
    </row>
    <row r="4236" spans="50:50" x14ac:dyDescent="0.25">
      <c r="AX4236" s="141"/>
    </row>
    <row r="4250" spans="50:50" x14ac:dyDescent="0.25">
      <c r="AX4250" s="141"/>
    </row>
    <row r="4251" spans="50:50" x14ac:dyDescent="0.25">
      <c r="AX4251" s="141"/>
    </row>
    <row r="4256" spans="50:50" x14ac:dyDescent="0.25">
      <c r="AX4256" s="141"/>
    </row>
    <row r="4257" spans="50:50" x14ac:dyDescent="0.25">
      <c r="AX4257" s="141"/>
    </row>
    <row r="4258" spans="50:50" x14ac:dyDescent="0.25">
      <c r="AX4258" s="141"/>
    </row>
    <row r="4259" spans="50:50" x14ac:dyDescent="0.25">
      <c r="AX4259" s="141"/>
    </row>
    <row r="4260" spans="50:50" x14ac:dyDescent="0.25">
      <c r="AX4260" s="141"/>
    </row>
    <row r="4273" spans="50:50" x14ac:dyDescent="0.25">
      <c r="AX4273" s="141"/>
    </row>
    <row r="4274" spans="50:50" x14ac:dyDescent="0.25">
      <c r="AX4274" s="141"/>
    </row>
    <row r="4275" spans="50:50" x14ac:dyDescent="0.25">
      <c r="AX4275" s="141"/>
    </row>
    <row r="4276" spans="50:50" x14ac:dyDescent="0.25">
      <c r="AX4276" s="141"/>
    </row>
    <row r="4277" spans="50:50" x14ac:dyDescent="0.25">
      <c r="AX4277" s="141"/>
    </row>
    <row r="4278" spans="50:50" x14ac:dyDescent="0.25">
      <c r="AX4278" s="141"/>
    </row>
    <row r="4279" spans="50:50" x14ac:dyDescent="0.25">
      <c r="AX4279" s="141"/>
    </row>
    <row r="4280" spans="50:50" x14ac:dyDescent="0.25">
      <c r="AX4280" s="141"/>
    </row>
    <row r="4281" spans="50:50" x14ac:dyDescent="0.25">
      <c r="AX4281" s="141"/>
    </row>
    <row r="4282" spans="50:50" x14ac:dyDescent="0.25">
      <c r="AX4282" s="141"/>
    </row>
    <row r="4283" spans="50:50" x14ac:dyDescent="0.25">
      <c r="AX4283" s="141"/>
    </row>
    <row r="4298" spans="50:50" x14ac:dyDescent="0.25">
      <c r="AX4298" s="141"/>
    </row>
    <row r="4299" spans="50:50" x14ac:dyDescent="0.25">
      <c r="AX4299" s="141"/>
    </row>
    <row r="4300" spans="50:50" x14ac:dyDescent="0.25">
      <c r="AX4300" s="141"/>
    </row>
    <row r="4301" spans="50:50" x14ac:dyDescent="0.25">
      <c r="AX4301" s="141"/>
    </row>
    <row r="4302" spans="50:50" x14ac:dyDescent="0.25">
      <c r="AX4302" s="141"/>
    </row>
    <row r="4303" spans="50:50" x14ac:dyDescent="0.25">
      <c r="AX4303" s="141"/>
    </row>
    <row r="4304" spans="50:50" x14ac:dyDescent="0.25">
      <c r="AX4304" s="141"/>
    </row>
    <row r="4305" spans="50:50" x14ac:dyDescent="0.25">
      <c r="AX4305" s="141"/>
    </row>
    <row r="4306" spans="50:50" x14ac:dyDescent="0.25">
      <c r="AX4306" s="141"/>
    </row>
    <row r="4307" spans="50:50" x14ac:dyDescent="0.25">
      <c r="AX4307" s="141"/>
    </row>
    <row r="4322" spans="50:50" x14ac:dyDescent="0.25">
      <c r="AX4322" s="141"/>
    </row>
    <row r="4323" spans="50:50" x14ac:dyDescent="0.25">
      <c r="AX4323" s="141"/>
    </row>
    <row r="4324" spans="50:50" x14ac:dyDescent="0.25">
      <c r="AX4324" s="141"/>
    </row>
    <row r="4325" spans="50:50" x14ac:dyDescent="0.25">
      <c r="AX4325" s="141"/>
    </row>
    <row r="4326" spans="50:50" x14ac:dyDescent="0.25">
      <c r="AX4326" s="141"/>
    </row>
    <row r="4327" spans="50:50" x14ac:dyDescent="0.25">
      <c r="AX4327" s="141"/>
    </row>
    <row r="4328" spans="50:50" x14ac:dyDescent="0.25">
      <c r="AX4328" s="141"/>
    </row>
    <row r="4329" spans="50:50" x14ac:dyDescent="0.25">
      <c r="AX4329" s="141"/>
    </row>
    <row r="4330" spans="50:50" x14ac:dyDescent="0.25">
      <c r="AX4330" s="141"/>
    </row>
    <row r="4331" spans="50:50" x14ac:dyDescent="0.25">
      <c r="AX4331" s="141"/>
    </row>
    <row r="4337" spans="50:53" x14ac:dyDescent="0.25">
      <c r="BA4337" s="141"/>
    </row>
    <row r="4346" spans="50:53" x14ac:dyDescent="0.25">
      <c r="AX4346" s="141"/>
    </row>
    <row r="4347" spans="50:53" x14ac:dyDescent="0.25">
      <c r="AX4347" s="141"/>
    </row>
    <row r="4348" spans="50:53" x14ac:dyDescent="0.25">
      <c r="AX4348" s="141"/>
    </row>
    <row r="4349" spans="50:53" x14ac:dyDescent="0.25">
      <c r="AX4349" s="141"/>
    </row>
    <row r="4350" spans="50:53" x14ac:dyDescent="0.25">
      <c r="AX4350" s="141"/>
    </row>
    <row r="4351" spans="50:53" x14ac:dyDescent="0.25">
      <c r="AX4351" s="141"/>
    </row>
    <row r="4352" spans="50:53" x14ac:dyDescent="0.25">
      <c r="AX4352" s="141"/>
    </row>
    <row r="4353" spans="50:53" x14ac:dyDescent="0.25">
      <c r="AX4353" s="141"/>
    </row>
    <row r="4354" spans="50:53" x14ac:dyDescent="0.25">
      <c r="AX4354" s="141"/>
    </row>
    <row r="4355" spans="50:53" x14ac:dyDescent="0.25">
      <c r="AX4355" s="141"/>
    </row>
    <row r="4360" spans="50:53" x14ac:dyDescent="0.25">
      <c r="BA4360" s="141"/>
    </row>
    <row r="4370" spans="50:53" x14ac:dyDescent="0.25">
      <c r="AX4370" s="141"/>
    </row>
    <row r="4371" spans="50:53" x14ac:dyDescent="0.25">
      <c r="AX4371" s="141"/>
    </row>
    <row r="4372" spans="50:53" x14ac:dyDescent="0.25">
      <c r="AX4372" s="141"/>
    </row>
    <row r="4373" spans="50:53" x14ac:dyDescent="0.25">
      <c r="AX4373" s="141"/>
    </row>
    <row r="4374" spans="50:53" x14ac:dyDescent="0.25">
      <c r="AX4374" s="141"/>
    </row>
    <row r="4375" spans="50:53" x14ac:dyDescent="0.25">
      <c r="AX4375" s="141"/>
    </row>
    <row r="4376" spans="50:53" x14ac:dyDescent="0.25">
      <c r="AX4376" s="141"/>
    </row>
    <row r="4377" spans="50:53" x14ac:dyDescent="0.25">
      <c r="AX4377" s="141"/>
    </row>
    <row r="4378" spans="50:53" x14ac:dyDescent="0.25">
      <c r="AX4378" s="141"/>
    </row>
    <row r="4383" spans="50:53" x14ac:dyDescent="0.25">
      <c r="BA4383" s="141"/>
    </row>
    <row r="4394" spans="50:50" x14ac:dyDescent="0.25">
      <c r="AX4394" s="141"/>
    </row>
    <row r="4395" spans="50:50" x14ac:dyDescent="0.25">
      <c r="AX4395" s="141"/>
    </row>
    <row r="4396" spans="50:50" x14ac:dyDescent="0.25">
      <c r="AX4396" s="141"/>
    </row>
    <row r="4397" spans="50:50" x14ac:dyDescent="0.25">
      <c r="AX4397" s="141"/>
    </row>
    <row r="4398" spans="50:50" x14ac:dyDescent="0.25">
      <c r="AX4398" s="141"/>
    </row>
    <row r="4399" spans="50:50" x14ac:dyDescent="0.25">
      <c r="AX4399" s="141"/>
    </row>
    <row r="4400" spans="50:50" x14ac:dyDescent="0.25">
      <c r="AX4400" s="141"/>
    </row>
    <row r="4401" spans="50:50" x14ac:dyDescent="0.25">
      <c r="AX4401" s="141"/>
    </row>
    <row r="4402" spans="50:50" x14ac:dyDescent="0.25">
      <c r="AX4402" s="141"/>
    </row>
    <row r="4403" spans="50:50" x14ac:dyDescent="0.25">
      <c r="AX4403" s="141"/>
    </row>
    <row r="4418" spans="50:50" x14ac:dyDescent="0.25">
      <c r="AX4418" s="141"/>
    </row>
    <row r="4419" spans="50:50" x14ac:dyDescent="0.25">
      <c r="AX4419" s="141"/>
    </row>
    <row r="4420" spans="50:50" x14ac:dyDescent="0.25">
      <c r="AX4420" s="141"/>
    </row>
    <row r="4421" spans="50:50" x14ac:dyDescent="0.25">
      <c r="AX4421" s="141"/>
    </row>
    <row r="4422" spans="50:50" x14ac:dyDescent="0.25">
      <c r="AX4422" s="141"/>
    </row>
    <row r="4423" spans="50:50" x14ac:dyDescent="0.25">
      <c r="AX4423" s="141"/>
    </row>
    <row r="4424" spans="50:50" x14ac:dyDescent="0.25">
      <c r="AX4424" s="141"/>
    </row>
    <row r="4425" spans="50:50" x14ac:dyDescent="0.25">
      <c r="AX4425" s="141"/>
    </row>
    <row r="4426" spans="50:50" x14ac:dyDescent="0.25">
      <c r="AX4426" s="141"/>
    </row>
    <row r="4427" spans="50:50" x14ac:dyDescent="0.25">
      <c r="AX4427" s="141"/>
    </row>
    <row r="4443" spans="50:50" x14ac:dyDescent="0.25">
      <c r="AX4443" s="141"/>
    </row>
    <row r="4444" spans="50:50" x14ac:dyDescent="0.25">
      <c r="AX4444" s="141"/>
    </row>
    <row r="4445" spans="50:50" x14ac:dyDescent="0.25">
      <c r="AX4445" s="141"/>
    </row>
    <row r="4446" spans="50:50" x14ac:dyDescent="0.25">
      <c r="AX4446" s="141"/>
    </row>
    <row r="4447" spans="50:50" x14ac:dyDescent="0.25">
      <c r="AX4447" s="141"/>
    </row>
    <row r="4448" spans="50:50" x14ac:dyDescent="0.25">
      <c r="AX4448" s="141"/>
    </row>
    <row r="4449" spans="50:50" x14ac:dyDescent="0.25">
      <c r="AX4449" s="141"/>
    </row>
    <row r="4450" spans="50:50" x14ac:dyDescent="0.25">
      <c r="AX4450" s="141"/>
    </row>
    <row r="4516" spans="50:50" x14ac:dyDescent="0.25">
      <c r="AX4516" s="141"/>
    </row>
    <row r="4517" spans="50:50" x14ac:dyDescent="0.25">
      <c r="AX4517" s="141"/>
    </row>
    <row r="4518" spans="50:50" x14ac:dyDescent="0.25">
      <c r="AX4518" s="141"/>
    </row>
    <row r="4519" spans="50:50" x14ac:dyDescent="0.25">
      <c r="AX4519" s="141"/>
    </row>
    <row r="4520" spans="50:50" x14ac:dyDescent="0.25">
      <c r="AX4520" s="141"/>
    </row>
    <row r="4521" spans="50:50" x14ac:dyDescent="0.25">
      <c r="AX4521" s="141"/>
    </row>
    <row r="4522" spans="50:50" x14ac:dyDescent="0.25">
      <c r="AX4522" s="141"/>
    </row>
    <row r="4539" spans="50:50" x14ac:dyDescent="0.25">
      <c r="AX4539" s="141"/>
    </row>
    <row r="4540" spans="50:50" x14ac:dyDescent="0.25">
      <c r="AX4540" s="141"/>
    </row>
    <row r="4541" spans="50:50" x14ac:dyDescent="0.25">
      <c r="AX4541" s="141"/>
    </row>
    <row r="4542" spans="50:50" x14ac:dyDescent="0.25">
      <c r="AX4542" s="141"/>
    </row>
    <row r="4543" spans="50:50" x14ac:dyDescent="0.25">
      <c r="AX4543" s="141"/>
    </row>
    <row r="4544" spans="50:50" x14ac:dyDescent="0.25">
      <c r="AX4544" s="141"/>
    </row>
    <row r="4545" spans="50:50" x14ac:dyDescent="0.25">
      <c r="AX4545" s="141"/>
    </row>
    <row r="4546" spans="50:50" x14ac:dyDescent="0.25">
      <c r="AX4546" s="141"/>
    </row>
    <row r="4547" spans="50:50" x14ac:dyDescent="0.25">
      <c r="AX4547" s="141"/>
    </row>
    <row r="4562" spans="50:50" x14ac:dyDescent="0.25">
      <c r="AX4562" s="141"/>
    </row>
    <row r="4563" spans="50:50" x14ac:dyDescent="0.25">
      <c r="AX4563" s="141"/>
    </row>
    <row r="4564" spans="50:50" x14ac:dyDescent="0.25">
      <c r="AX4564" s="141"/>
    </row>
    <row r="4568" spans="50:50" x14ac:dyDescent="0.25">
      <c r="AX4568" s="141"/>
    </row>
    <row r="4569" spans="50:50" x14ac:dyDescent="0.25">
      <c r="AX4569" s="141"/>
    </row>
    <row r="4570" spans="50:50" x14ac:dyDescent="0.25">
      <c r="AX4570" s="141"/>
    </row>
    <row r="4571" spans="50:50" x14ac:dyDescent="0.25">
      <c r="AX4571" s="141"/>
    </row>
    <row r="4586" spans="50:50" x14ac:dyDescent="0.25">
      <c r="AX4586" s="141"/>
    </row>
    <row r="4587" spans="50:50" x14ac:dyDescent="0.25">
      <c r="AX4587" s="141"/>
    </row>
    <row r="4588" spans="50:50" x14ac:dyDescent="0.25">
      <c r="AX4588" s="141"/>
    </row>
    <row r="4589" spans="50:50" x14ac:dyDescent="0.25">
      <c r="AX4589" s="141"/>
    </row>
    <row r="4592" spans="50:50" x14ac:dyDescent="0.25">
      <c r="AX4592" s="141"/>
    </row>
    <row r="4593" spans="50:50" x14ac:dyDescent="0.25">
      <c r="AX4593" s="141"/>
    </row>
    <row r="4594" spans="50:50" x14ac:dyDescent="0.25">
      <c r="AX4594" s="141"/>
    </row>
    <row r="4595" spans="50:50" x14ac:dyDescent="0.25">
      <c r="AX4595" s="141"/>
    </row>
    <row r="4596" spans="50:50" x14ac:dyDescent="0.25">
      <c r="AX4596" s="141"/>
    </row>
    <row r="4610" spans="50:50" x14ac:dyDescent="0.25">
      <c r="AX4610" s="141"/>
    </row>
    <row r="4611" spans="50:50" x14ac:dyDescent="0.25">
      <c r="AX4611" s="141"/>
    </row>
    <row r="4616" spans="50:50" x14ac:dyDescent="0.25">
      <c r="AX4616" s="141"/>
    </row>
    <row r="4618" spans="50:50" x14ac:dyDescent="0.25">
      <c r="AX4618" s="141"/>
    </row>
    <row r="4619" spans="50:50" x14ac:dyDescent="0.25">
      <c r="AX4619" s="141"/>
    </row>
    <row r="4634" spans="50:50" x14ac:dyDescent="0.25">
      <c r="AX4634" s="141"/>
    </row>
    <row r="4635" spans="50:50" x14ac:dyDescent="0.25">
      <c r="AX4635" s="141"/>
    </row>
    <row r="4636" spans="50:50" x14ac:dyDescent="0.25">
      <c r="AX4636" s="141"/>
    </row>
    <row r="4642" spans="50:50" x14ac:dyDescent="0.25">
      <c r="AX4642" s="141"/>
    </row>
    <row r="4643" spans="50:50" x14ac:dyDescent="0.25">
      <c r="AX4643" s="141"/>
    </row>
    <row r="4644" spans="50:50" x14ac:dyDescent="0.25">
      <c r="AX4644" s="141"/>
    </row>
    <row r="4658" spans="50:50" x14ac:dyDescent="0.25">
      <c r="AX4658" s="141"/>
    </row>
    <row r="4659" spans="50:50" x14ac:dyDescent="0.25">
      <c r="AX4659" s="141"/>
    </row>
    <row r="4660" spans="50:50" x14ac:dyDescent="0.25">
      <c r="AX4660" s="141"/>
    </row>
    <row r="4661" spans="50:50" x14ac:dyDescent="0.25">
      <c r="AX4661" s="141"/>
    </row>
    <row r="4662" spans="50:50" x14ac:dyDescent="0.25">
      <c r="AX4662" s="141"/>
    </row>
    <row r="4667" spans="50:50" x14ac:dyDescent="0.25">
      <c r="AX4667" s="141"/>
    </row>
    <row r="4668" spans="50:50" x14ac:dyDescent="0.25">
      <c r="AX4668" s="141"/>
    </row>
    <row r="4682" spans="50:50" x14ac:dyDescent="0.25">
      <c r="AX4682" s="141"/>
    </row>
    <row r="4683" spans="50:50" x14ac:dyDescent="0.25">
      <c r="AX4683" s="141"/>
    </row>
    <row r="4691" spans="50:50" x14ac:dyDescent="0.25">
      <c r="AX4691" s="141"/>
    </row>
    <row r="4692" spans="50:50" x14ac:dyDescent="0.25">
      <c r="AX4692" s="141"/>
    </row>
    <row r="4706" spans="50:50" x14ac:dyDescent="0.25">
      <c r="AX4706" s="141"/>
    </row>
    <row r="4707" spans="50:50" x14ac:dyDescent="0.25">
      <c r="AX4707" s="141"/>
    </row>
    <row r="4708" spans="50:50" x14ac:dyDescent="0.25">
      <c r="AX4708" s="141"/>
    </row>
    <row r="4715" spans="50:50" x14ac:dyDescent="0.25">
      <c r="AX4715" s="141"/>
    </row>
    <row r="4729" spans="50:50" x14ac:dyDescent="0.25">
      <c r="AX4729" s="141"/>
    </row>
    <row r="4730" spans="50:50" x14ac:dyDescent="0.25">
      <c r="AX4730" s="141"/>
    </row>
    <row r="4731" spans="50:50" x14ac:dyDescent="0.25">
      <c r="AX4731" s="141"/>
    </row>
    <row r="4739" spans="50:50" x14ac:dyDescent="0.25">
      <c r="AX4739" s="141"/>
    </row>
    <row r="4740" spans="50:50" x14ac:dyDescent="0.25">
      <c r="AX4740" s="141"/>
    </row>
    <row r="4754" spans="50:50" x14ac:dyDescent="0.25">
      <c r="AX4754" s="141"/>
    </row>
    <row r="4755" spans="50:50" x14ac:dyDescent="0.25">
      <c r="AX4755" s="141"/>
    </row>
    <row r="4756" spans="50:50" x14ac:dyDescent="0.25">
      <c r="AX4756" s="141"/>
    </row>
    <row r="4757" spans="50:50" x14ac:dyDescent="0.25">
      <c r="AX4757" s="141"/>
    </row>
    <row r="4763" spans="50:50" x14ac:dyDescent="0.25">
      <c r="AX4763" s="141"/>
    </row>
    <row r="4764" spans="50:50" x14ac:dyDescent="0.25">
      <c r="AX4764" s="141"/>
    </row>
    <row r="4778" spans="50:50" x14ac:dyDescent="0.25">
      <c r="AX4778" s="141"/>
    </row>
    <row r="4779" spans="50:50" x14ac:dyDescent="0.25">
      <c r="AX4779" s="141"/>
    </row>
    <row r="4780" spans="50:50" x14ac:dyDescent="0.25">
      <c r="AX4780" s="141"/>
    </row>
    <row r="4781" spans="50:50" x14ac:dyDescent="0.25">
      <c r="AX4781" s="141"/>
    </row>
    <row r="4782" spans="50:50" x14ac:dyDescent="0.25">
      <c r="AX4782" s="141"/>
    </row>
    <row r="4783" spans="50:50" x14ac:dyDescent="0.25">
      <c r="AX4783" s="141"/>
    </row>
    <row r="4784" spans="50:50" x14ac:dyDescent="0.25">
      <c r="AX4784" s="141"/>
    </row>
    <row r="4785" spans="50:50" x14ac:dyDescent="0.25">
      <c r="AX4785" s="141"/>
    </row>
    <row r="4786" spans="50:50" x14ac:dyDescent="0.25">
      <c r="AX4786" s="141"/>
    </row>
    <row r="4787" spans="50:50" x14ac:dyDescent="0.25">
      <c r="AX4787" s="141"/>
    </row>
    <row r="4802" spans="50:50" x14ac:dyDescent="0.25">
      <c r="AX4802" s="141"/>
    </row>
    <row r="4803" spans="50:50" x14ac:dyDescent="0.25">
      <c r="AX4803" s="141"/>
    </row>
    <row r="4804" spans="50:50" x14ac:dyDescent="0.25">
      <c r="AX4804" s="141"/>
    </row>
    <row r="4805" spans="50:50" x14ac:dyDescent="0.25">
      <c r="AX4805" s="141"/>
    </row>
    <row r="4806" spans="50:50" x14ac:dyDescent="0.25">
      <c r="AX4806" s="141"/>
    </row>
    <row r="4807" spans="50:50" x14ac:dyDescent="0.25">
      <c r="AX4807" s="141"/>
    </row>
    <row r="4808" spans="50:50" x14ac:dyDescent="0.25">
      <c r="AX4808" s="141"/>
    </row>
    <row r="4809" spans="50:50" x14ac:dyDescent="0.25">
      <c r="AX4809" s="141"/>
    </row>
    <row r="4810" spans="50:50" x14ac:dyDescent="0.25">
      <c r="AX4810" s="141"/>
    </row>
    <row r="4811" spans="50:50" x14ac:dyDescent="0.25">
      <c r="AX4811" s="141"/>
    </row>
    <row r="4827" spans="50:50" x14ac:dyDescent="0.25">
      <c r="AX4827" s="141"/>
    </row>
    <row r="4828" spans="50:50" x14ac:dyDescent="0.25">
      <c r="AX4828" s="141"/>
    </row>
    <row r="4829" spans="50:50" x14ac:dyDescent="0.25">
      <c r="AX4829" s="141"/>
    </row>
    <row r="4830" spans="50:50" x14ac:dyDescent="0.25">
      <c r="AX4830" s="141"/>
    </row>
    <row r="4831" spans="50:50" x14ac:dyDescent="0.25">
      <c r="AX4831" s="141"/>
    </row>
    <row r="4832" spans="50:50" x14ac:dyDescent="0.25">
      <c r="AX4832" s="141"/>
    </row>
    <row r="4833" spans="50:50" x14ac:dyDescent="0.25">
      <c r="AX4833" s="141"/>
    </row>
    <row r="4834" spans="50:50" x14ac:dyDescent="0.25">
      <c r="AX4834" s="141"/>
    </row>
    <row r="4835" spans="50:50" x14ac:dyDescent="0.25">
      <c r="AX4835" s="141"/>
    </row>
    <row r="4850" spans="50:50" x14ac:dyDescent="0.25">
      <c r="AX4850" s="141"/>
    </row>
    <row r="4851" spans="50:50" x14ac:dyDescent="0.25">
      <c r="AX4851" s="141"/>
    </row>
    <row r="4852" spans="50:50" x14ac:dyDescent="0.25">
      <c r="AX4852" s="141"/>
    </row>
    <row r="4853" spans="50:50" x14ac:dyDescent="0.25">
      <c r="AX4853" s="141"/>
    </row>
    <row r="4854" spans="50:50" x14ac:dyDescent="0.25">
      <c r="AX4854" s="141"/>
    </row>
    <row r="4855" spans="50:50" x14ac:dyDescent="0.25">
      <c r="AX4855" s="141"/>
    </row>
    <row r="4856" spans="50:50" x14ac:dyDescent="0.25">
      <c r="AX4856" s="141"/>
    </row>
    <row r="4857" spans="50:50" x14ac:dyDescent="0.25">
      <c r="AX4857" s="141"/>
    </row>
    <row r="4858" spans="50:50" x14ac:dyDescent="0.25">
      <c r="AX4858" s="141"/>
    </row>
    <row r="4859" spans="50:50" x14ac:dyDescent="0.25">
      <c r="AX4859" s="141"/>
    </row>
    <row r="4874" spans="50:50" x14ac:dyDescent="0.25">
      <c r="AX4874" s="141"/>
    </row>
    <row r="4875" spans="50:50" x14ac:dyDescent="0.25">
      <c r="AX4875" s="141"/>
    </row>
    <row r="4876" spans="50:50" x14ac:dyDescent="0.25">
      <c r="AX4876" s="141"/>
    </row>
    <row r="4877" spans="50:50" x14ac:dyDescent="0.25">
      <c r="AX4877" s="141"/>
    </row>
    <row r="4878" spans="50:50" x14ac:dyDescent="0.25">
      <c r="AX4878" s="141"/>
    </row>
    <row r="4879" spans="50:50" x14ac:dyDescent="0.25">
      <c r="AX4879" s="141"/>
    </row>
    <row r="4880" spans="50:50" x14ac:dyDescent="0.25">
      <c r="AX4880" s="141"/>
    </row>
    <row r="4881" spans="50:50" x14ac:dyDescent="0.25">
      <c r="AX4881" s="141"/>
    </row>
    <row r="4882" spans="50:50" x14ac:dyDescent="0.25">
      <c r="AX4882" s="141"/>
    </row>
    <row r="4883" spans="50:50" x14ac:dyDescent="0.25">
      <c r="AX4883" s="141"/>
    </row>
    <row r="4898" spans="50:50" x14ac:dyDescent="0.25">
      <c r="AX4898" s="141"/>
    </row>
    <row r="4899" spans="50:50" x14ac:dyDescent="0.25">
      <c r="AX4899" s="141"/>
    </row>
    <row r="4900" spans="50:50" x14ac:dyDescent="0.25">
      <c r="AX4900" s="141"/>
    </row>
    <row r="4901" spans="50:50" x14ac:dyDescent="0.25">
      <c r="AX4901" s="141"/>
    </row>
    <row r="4902" spans="50:50" x14ac:dyDescent="0.25">
      <c r="AX4902" s="141"/>
    </row>
    <row r="4903" spans="50:50" x14ac:dyDescent="0.25">
      <c r="AX4903" s="141"/>
    </row>
    <row r="4904" spans="50:50" x14ac:dyDescent="0.25">
      <c r="AX4904" s="141"/>
    </row>
    <row r="4905" spans="50:50" x14ac:dyDescent="0.25">
      <c r="AX4905" s="141"/>
    </row>
    <row r="4906" spans="50:50" x14ac:dyDescent="0.25">
      <c r="AX4906" s="141"/>
    </row>
    <row r="4907" spans="50:50" x14ac:dyDescent="0.25">
      <c r="AX4907" s="141"/>
    </row>
    <row r="4922" spans="50:50" x14ac:dyDescent="0.25">
      <c r="AX4922" s="141"/>
    </row>
    <row r="4923" spans="50:50" x14ac:dyDescent="0.25">
      <c r="AX4923" s="141"/>
    </row>
    <row r="4924" spans="50:50" x14ac:dyDescent="0.25">
      <c r="AX4924" s="141"/>
    </row>
    <row r="4925" spans="50:50" x14ac:dyDescent="0.25">
      <c r="AX4925" s="141"/>
    </row>
    <row r="4926" spans="50:50" x14ac:dyDescent="0.25">
      <c r="AX4926" s="141"/>
    </row>
    <row r="4927" spans="50:50" x14ac:dyDescent="0.25">
      <c r="AX4927" s="141"/>
    </row>
    <row r="4928" spans="50:50" x14ac:dyDescent="0.25">
      <c r="AX4928" s="141"/>
    </row>
    <row r="4929" spans="50:50" x14ac:dyDescent="0.25">
      <c r="AX4929" s="141"/>
    </row>
    <row r="4930" spans="50:50" x14ac:dyDescent="0.25">
      <c r="AX4930" s="141"/>
    </row>
    <row r="4931" spans="50:50" x14ac:dyDescent="0.25">
      <c r="AX4931" s="141"/>
    </row>
    <row r="4946" spans="50:50" x14ac:dyDescent="0.25">
      <c r="AX4946" s="141"/>
    </row>
    <row r="4947" spans="50:50" x14ac:dyDescent="0.25">
      <c r="AX4947" s="141"/>
    </row>
    <row r="4948" spans="50:50" x14ac:dyDescent="0.25">
      <c r="AX4948" s="141"/>
    </row>
    <row r="4949" spans="50:50" x14ac:dyDescent="0.25">
      <c r="AX4949" s="141"/>
    </row>
    <row r="4950" spans="50:50" x14ac:dyDescent="0.25">
      <c r="AX4950" s="141"/>
    </row>
    <row r="4951" spans="50:50" x14ac:dyDescent="0.25">
      <c r="AX4951" s="141"/>
    </row>
    <row r="4952" spans="50:50" x14ac:dyDescent="0.25">
      <c r="AX4952" s="141"/>
    </row>
    <row r="4953" spans="50:50" x14ac:dyDescent="0.25">
      <c r="AX4953" s="141"/>
    </row>
    <row r="4954" spans="50:50" x14ac:dyDescent="0.25">
      <c r="AX4954" s="141"/>
    </row>
    <row r="4955" spans="50:50" x14ac:dyDescent="0.25">
      <c r="AX4955" s="141"/>
    </row>
    <row r="4970" spans="50:50" x14ac:dyDescent="0.25">
      <c r="AX4970" s="141"/>
    </row>
    <row r="4971" spans="50:50" x14ac:dyDescent="0.25">
      <c r="AX4971" s="141"/>
    </row>
    <row r="4972" spans="50:50" x14ac:dyDescent="0.25">
      <c r="AX4972" s="141"/>
    </row>
    <row r="4973" spans="50:50" x14ac:dyDescent="0.25">
      <c r="AX4973" s="141"/>
    </row>
    <row r="4974" spans="50:50" x14ac:dyDescent="0.25">
      <c r="AX4974" s="141"/>
    </row>
    <row r="4975" spans="50:50" x14ac:dyDescent="0.25">
      <c r="AX4975" s="141"/>
    </row>
    <row r="4976" spans="50:50" x14ac:dyDescent="0.25">
      <c r="AX4976" s="141"/>
    </row>
    <row r="4977" spans="50:50" x14ac:dyDescent="0.25">
      <c r="AX4977" s="141"/>
    </row>
    <row r="4978" spans="50:50" x14ac:dyDescent="0.25">
      <c r="AX4978" s="141"/>
    </row>
    <row r="4979" spans="50:50" x14ac:dyDescent="0.25">
      <c r="AX4979" s="141"/>
    </row>
    <row r="4994" spans="50:50" x14ac:dyDescent="0.25">
      <c r="AX4994" s="141"/>
    </row>
    <row r="4995" spans="50:50" x14ac:dyDescent="0.25">
      <c r="AX4995" s="141"/>
    </row>
    <row r="4996" spans="50:50" x14ac:dyDescent="0.25">
      <c r="AX4996" s="141"/>
    </row>
    <row r="4997" spans="50:50" x14ac:dyDescent="0.25">
      <c r="AX4997" s="141"/>
    </row>
    <row r="4998" spans="50:50" x14ac:dyDescent="0.25">
      <c r="AX4998" s="141"/>
    </row>
    <row r="4999" spans="50:50" x14ac:dyDescent="0.25">
      <c r="AX4999" s="141"/>
    </row>
    <row r="5000" spans="50:50" x14ac:dyDescent="0.25">
      <c r="AX5000" s="141"/>
    </row>
    <row r="5001" spans="50:50" x14ac:dyDescent="0.25">
      <c r="AX5001" s="141"/>
    </row>
    <row r="5002" spans="50:50" x14ac:dyDescent="0.25">
      <c r="AX5002" s="141"/>
    </row>
    <row r="5003" spans="50:50" x14ac:dyDescent="0.25">
      <c r="AX5003" s="141"/>
    </row>
    <row r="5019" spans="50:50" x14ac:dyDescent="0.25">
      <c r="AX5019" s="141"/>
    </row>
    <row r="5020" spans="50:50" x14ac:dyDescent="0.25">
      <c r="AX5020" s="141"/>
    </row>
    <row r="5021" spans="50:50" x14ac:dyDescent="0.25">
      <c r="AX5021" s="141"/>
    </row>
    <row r="5022" spans="50:50" x14ac:dyDescent="0.25">
      <c r="AX5022" s="141"/>
    </row>
    <row r="5023" spans="50:50" x14ac:dyDescent="0.25">
      <c r="AX5023" s="141"/>
    </row>
    <row r="5024" spans="50:50" x14ac:dyDescent="0.25">
      <c r="AX5024" s="141"/>
    </row>
    <row r="5025" spans="50:50" x14ac:dyDescent="0.25">
      <c r="AX5025" s="141"/>
    </row>
    <row r="5026" spans="50:50" x14ac:dyDescent="0.25">
      <c r="AX5026" s="141"/>
    </row>
    <row r="5027" spans="50:50" x14ac:dyDescent="0.25">
      <c r="AX5027" s="141"/>
    </row>
    <row r="5043" spans="50:50" x14ac:dyDescent="0.25">
      <c r="AX5043" s="141"/>
    </row>
    <row r="5044" spans="50:50" x14ac:dyDescent="0.25">
      <c r="AX5044" s="141"/>
    </row>
    <row r="5045" spans="50:50" x14ac:dyDescent="0.25">
      <c r="AX5045" s="141"/>
    </row>
    <row r="5046" spans="50:50" x14ac:dyDescent="0.25">
      <c r="AX5046" s="141"/>
    </row>
    <row r="5047" spans="50:50" x14ac:dyDescent="0.25">
      <c r="AX5047" s="141"/>
    </row>
    <row r="5048" spans="50:50" x14ac:dyDescent="0.25">
      <c r="AX5048" s="141"/>
    </row>
    <row r="5049" spans="50:50" x14ac:dyDescent="0.25">
      <c r="AX5049" s="141"/>
    </row>
    <row r="5050" spans="50:50" x14ac:dyDescent="0.25">
      <c r="AX5050" s="141"/>
    </row>
    <row r="5067" spans="50:50" x14ac:dyDescent="0.25">
      <c r="AX5067" s="141"/>
    </row>
    <row r="5068" spans="50:50" x14ac:dyDescent="0.25">
      <c r="AX5068" s="141"/>
    </row>
    <row r="5069" spans="50:50" x14ac:dyDescent="0.25">
      <c r="AX5069" s="141"/>
    </row>
    <row r="5070" spans="50:50" x14ac:dyDescent="0.25">
      <c r="AX5070" s="141"/>
    </row>
    <row r="5071" spans="50:50" x14ac:dyDescent="0.25">
      <c r="AX5071" s="141"/>
    </row>
    <row r="5072" spans="50:50" x14ac:dyDescent="0.25">
      <c r="AX5072" s="141"/>
    </row>
    <row r="5073" spans="50:50" x14ac:dyDescent="0.25">
      <c r="AX5073" s="141"/>
    </row>
    <row r="5074" spans="50:50" x14ac:dyDescent="0.25">
      <c r="AX5074" s="141"/>
    </row>
    <row r="5075" spans="50:50" x14ac:dyDescent="0.25">
      <c r="AX5075" s="141"/>
    </row>
    <row r="5092" spans="50:50" x14ac:dyDescent="0.25">
      <c r="AX5092" s="141"/>
    </row>
    <row r="5093" spans="50:50" x14ac:dyDescent="0.25">
      <c r="AX5093" s="141"/>
    </row>
    <row r="5094" spans="50:50" x14ac:dyDescent="0.25">
      <c r="AX5094" s="141"/>
    </row>
    <row r="5095" spans="50:50" x14ac:dyDescent="0.25">
      <c r="AX5095" s="141"/>
    </row>
    <row r="5096" spans="50:50" x14ac:dyDescent="0.25">
      <c r="AX5096" s="141"/>
    </row>
    <row r="5097" spans="50:50" x14ac:dyDescent="0.25">
      <c r="AX5097" s="141"/>
    </row>
    <row r="5098" spans="50:50" x14ac:dyDescent="0.25">
      <c r="AX5098" s="141"/>
    </row>
    <row r="5099" spans="50:50" x14ac:dyDescent="0.25">
      <c r="AX5099" s="141"/>
    </row>
    <row r="5114" spans="50:50" x14ac:dyDescent="0.25">
      <c r="AX5114" s="141"/>
    </row>
    <row r="5115" spans="50:50" x14ac:dyDescent="0.25">
      <c r="AX5115" s="141"/>
    </row>
    <row r="5116" spans="50:50" x14ac:dyDescent="0.25">
      <c r="AX5116" s="141"/>
    </row>
    <row r="5117" spans="50:50" x14ac:dyDescent="0.25">
      <c r="AX5117" s="141"/>
    </row>
    <row r="5118" spans="50:50" x14ac:dyDescent="0.25">
      <c r="AX5118" s="141"/>
    </row>
    <row r="5119" spans="50:50" x14ac:dyDescent="0.25">
      <c r="AX5119" s="141"/>
    </row>
    <row r="5120" spans="50:50" x14ac:dyDescent="0.25">
      <c r="AX5120" s="141"/>
    </row>
    <row r="5121" spans="50:50" x14ac:dyDescent="0.25">
      <c r="AX5121" s="141"/>
    </row>
    <row r="5122" spans="50:50" x14ac:dyDescent="0.25">
      <c r="AX5122" s="141"/>
    </row>
    <row r="5123" spans="50:50" x14ac:dyDescent="0.25">
      <c r="AX5123" s="141"/>
    </row>
    <row r="5138" spans="50:50" x14ac:dyDescent="0.25">
      <c r="AX5138" s="141"/>
    </row>
    <row r="5139" spans="50:50" x14ac:dyDescent="0.25">
      <c r="AX5139" s="141"/>
    </row>
    <row r="5140" spans="50:50" x14ac:dyDescent="0.25">
      <c r="AX5140" s="141"/>
    </row>
    <row r="5141" spans="50:50" x14ac:dyDescent="0.25">
      <c r="AX5141" s="141"/>
    </row>
    <row r="5142" spans="50:50" x14ac:dyDescent="0.25">
      <c r="AX5142" s="141"/>
    </row>
    <row r="5143" spans="50:50" x14ac:dyDescent="0.25">
      <c r="AX5143" s="141"/>
    </row>
    <row r="5144" spans="50:50" x14ac:dyDescent="0.25">
      <c r="AX5144" s="141"/>
    </row>
    <row r="5145" spans="50:50" x14ac:dyDescent="0.25">
      <c r="AX5145" s="141"/>
    </row>
    <row r="5146" spans="50:50" x14ac:dyDescent="0.25">
      <c r="AX5146" s="141"/>
    </row>
    <row r="5147" spans="50:50" x14ac:dyDescent="0.25">
      <c r="AX5147" s="141"/>
    </row>
    <row r="5162" spans="50:50" x14ac:dyDescent="0.25">
      <c r="AX5162" s="141"/>
    </row>
    <row r="5163" spans="50:50" x14ac:dyDescent="0.25">
      <c r="AX5163" s="141"/>
    </row>
    <row r="5164" spans="50:50" x14ac:dyDescent="0.25">
      <c r="AX5164" s="141"/>
    </row>
    <row r="5165" spans="50:50" x14ac:dyDescent="0.25">
      <c r="AX5165" s="141"/>
    </row>
    <row r="5166" spans="50:50" x14ac:dyDescent="0.25">
      <c r="AX5166" s="141"/>
    </row>
    <row r="5167" spans="50:50" x14ac:dyDescent="0.25">
      <c r="AX5167" s="141"/>
    </row>
    <row r="5168" spans="50:50" x14ac:dyDescent="0.25">
      <c r="AX5168" s="141"/>
    </row>
    <row r="5169" spans="50:50" x14ac:dyDescent="0.25">
      <c r="AX5169" s="141"/>
    </row>
    <row r="5170" spans="50:50" x14ac:dyDescent="0.25">
      <c r="AX5170" s="141"/>
    </row>
    <row r="5171" spans="50:50" x14ac:dyDescent="0.25">
      <c r="AX5171" s="141"/>
    </row>
    <row r="5187" spans="50:50" x14ac:dyDescent="0.25">
      <c r="AX5187" s="141"/>
    </row>
    <row r="5188" spans="50:50" x14ac:dyDescent="0.25">
      <c r="AX5188" s="141"/>
    </row>
    <row r="5189" spans="50:50" x14ac:dyDescent="0.25">
      <c r="AX5189" s="141"/>
    </row>
    <row r="5190" spans="50:50" x14ac:dyDescent="0.25">
      <c r="AX5190" s="141"/>
    </row>
    <row r="5191" spans="50:50" x14ac:dyDescent="0.25">
      <c r="AX5191" s="141"/>
    </row>
    <row r="5192" spans="50:50" x14ac:dyDescent="0.25">
      <c r="AX5192" s="141"/>
    </row>
    <row r="5193" spans="50:50" x14ac:dyDescent="0.25">
      <c r="AX5193" s="141"/>
    </row>
    <row r="5194" spans="50:50" x14ac:dyDescent="0.25">
      <c r="AX5194" s="141"/>
    </row>
    <row r="5211" spans="50:50" x14ac:dyDescent="0.25">
      <c r="AX5211" s="141"/>
    </row>
    <row r="5212" spans="50:50" x14ac:dyDescent="0.25">
      <c r="AX5212" s="141"/>
    </row>
    <row r="5213" spans="50:50" x14ac:dyDescent="0.25">
      <c r="AX5213" s="141"/>
    </row>
    <row r="5214" spans="50:50" x14ac:dyDescent="0.25">
      <c r="AX5214" s="141"/>
    </row>
    <row r="5215" spans="50:50" x14ac:dyDescent="0.25">
      <c r="AX5215" s="141"/>
    </row>
    <row r="5216" spans="50:50" x14ac:dyDescent="0.25">
      <c r="AX5216" s="141"/>
    </row>
    <row r="5217" spans="50:50" x14ac:dyDescent="0.25">
      <c r="AX5217" s="141"/>
    </row>
    <row r="5218" spans="50:50" x14ac:dyDescent="0.25">
      <c r="AX5218" s="141"/>
    </row>
    <row r="5235" spans="50:50" x14ac:dyDescent="0.25">
      <c r="AX5235" s="141"/>
    </row>
    <row r="5236" spans="50:50" x14ac:dyDescent="0.25">
      <c r="AX5236" s="141"/>
    </row>
    <row r="5237" spans="50:50" x14ac:dyDescent="0.25">
      <c r="AX5237" s="141"/>
    </row>
    <row r="5238" spans="50:50" x14ac:dyDescent="0.25">
      <c r="AX5238" s="141"/>
    </row>
    <row r="5239" spans="50:50" x14ac:dyDescent="0.25">
      <c r="AX5239" s="141"/>
    </row>
    <row r="5240" spans="50:50" x14ac:dyDescent="0.25">
      <c r="AX5240" s="141"/>
    </row>
    <row r="5241" spans="50:50" x14ac:dyDescent="0.25">
      <c r="AX5241" s="141"/>
    </row>
    <row r="5242" spans="50:50" x14ac:dyDescent="0.25">
      <c r="AX5242" s="141"/>
    </row>
    <row r="5259" spans="50:50" x14ac:dyDescent="0.25">
      <c r="AX5259" s="141"/>
    </row>
    <row r="5260" spans="50:50" x14ac:dyDescent="0.25">
      <c r="AX5260" s="141"/>
    </row>
    <row r="5261" spans="50:50" x14ac:dyDescent="0.25">
      <c r="AX5261" s="141"/>
    </row>
    <row r="5262" spans="50:50" x14ac:dyDescent="0.25">
      <c r="AX5262" s="141"/>
    </row>
    <row r="5263" spans="50:50" x14ac:dyDescent="0.25">
      <c r="AX5263" s="141"/>
    </row>
    <row r="5264" spans="50:50" x14ac:dyDescent="0.25">
      <c r="AX5264" s="141"/>
    </row>
    <row r="5265" spans="50:50" x14ac:dyDescent="0.25">
      <c r="AX5265" s="141"/>
    </row>
    <row r="5266" spans="50:50" x14ac:dyDescent="0.25">
      <c r="AX5266" s="141"/>
    </row>
    <row r="5283" spans="50:50" x14ac:dyDescent="0.25">
      <c r="AX5283" s="141"/>
    </row>
    <row r="5284" spans="50:50" x14ac:dyDescent="0.25">
      <c r="AX5284" s="141"/>
    </row>
    <row r="5285" spans="50:50" x14ac:dyDescent="0.25">
      <c r="AX5285" s="141"/>
    </row>
    <row r="5286" spans="50:50" x14ac:dyDescent="0.25">
      <c r="AX5286" s="141"/>
    </row>
    <row r="5287" spans="50:50" x14ac:dyDescent="0.25">
      <c r="AX5287" s="141"/>
    </row>
    <row r="5288" spans="50:50" x14ac:dyDescent="0.25">
      <c r="AX5288" s="141"/>
    </row>
    <row r="5289" spans="50:50" x14ac:dyDescent="0.25">
      <c r="AX5289" s="141"/>
    </row>
    <row r="5290" spans="50:50" x14ac:dyDescent="0.25">
      <c r="AX5290" s="141"/>
    </row>
    <row r="5306" spans="50:50" x14ac:dyDescent="0.25">
      <c r="AX5306" s="141"/>
    </row>
    <row r="5307" spans="50:50" x14ac:dyDescent="0.25">
      <c r="AX5307" s="141"/>
    </row>
    <row r="5308" spans="50:50" x14ac:dyDescent="0.25">
      <c r="AX5308" s="141"/>
    </row>
    <row r="5309" spans="50:50" x14ac:dyDescent="0.25">
      <c r="AX5309" s="141"/>
    </row>
    <row r="5310" spans="50:50" x14ac:dyDescent="0.25">
      <c r="AX5310" s="141"/>
    </row>
    <row r="5311" spans="50:50" x14ac:dyDescent="0.25">
      <c r="AX5311" s="141"/>
    </row>
    <row r="5312" spans="50:50" x14ac:dyDescent="0.25">
      <c r="AX5312" s="141"/>
    </row>
    <row r="5313" spans="50:50" x14ac:dyDescent="0.25">
      <c r="AX5313" s="141"/>
    </row>
    <row r="5314" spans="50:50" x14ac:dyDescent="0.25">
      <c r="AX5314" s="141"/>
    </row>
    <row r="5315" spans="50:50" x14ac:dyDescent="0.25">
      <c r="AX5315" s="141"/>
    </row>
    <row r="5330" spans="50:50" x14ac:dyDescent="0.25">
      <c r="AX5330" s="141"/>
    </row>
    <row r="5331" spans="50:50" x14ac:dyDescent="0.25">
      <c r="AX5331" s="141"/>
    </row>
    <row r="5332" spans="50:50" x14ac:dyDescent="0.25">
      <c r="AX5332" s="141"/>
    </row>
    <row r="5333" spans="50:50" x14ac:dyDescent="0.25">
      <c r="AX5333" s="141"/>
    </row>
    <row r="5334" spans="50:50" x14ac:dyDescent="0.25">
      <c r="AX5334" s="141"/>
    </row>
    <row r="5335" spans="50:50" x14ac:dyDescent="0.25">
      <c r="AX5335" s="141"/>
    </row>
    <row r="5336" spans="50:50" x14ac:dyDescent="0.25">
      <c r="AX5336" s="141"/>
    </row>
    <row r="5337" spans="50:50" x14ac:dyDescent="0.25">
      <c r="AX5337" s="141"/>
    </row>
    <row r="5338" spans="50:50" x14ac:dyDescent="0.25">
      <c r="AX5338" s="141"/>
    </row>
    <row r="5339" spans="50:50" x14ac:dyDescent="0.25">
      <c r="AX5339" s="141"/>
    </row>
    <row r="5354" spans="50:50" x14ac:dyDescent="0.25">
      <c r="AX5354" s="141"/>
    </row>
    <row r="5355" spans="50:50" x14ac:dyDescent="0.25">
      <c r="AX5355" s="141"/>
    </row>
    <row r="5356" spans="50:50" x14ac:dyDescent="0.25">
      <c r="AX5356" s="141"/>
    </row>
    <row r="5357" spans="50:50" x14ac:dyDescent="0.25">
      <c r="AX5357" s="141"/>
    </row>
    <row r="5358" spans="50:50" x14ac:dyDescent="0.25">
      <c r="AX5358" s="141"/>
    </row>
    <row r="5359" spans="50:50" x14ac:dyDescent="0.25">
      <c r="AX5359" s="141"/>
    </row>
    <row r="5360" spans="50:50" x14ac:dyDescent="0.25">
      <c r="AX5360" s="141"/>
    </row>
    <row r="5361" spans="50:50" x14ac:dyDescent="0.25">
      <c r="AX5361" s="141"/>
    </row>
    <row r="5362" spans="50:50" x14ac:dyDescent="0.25">
      <c r="AX5362" s="141"/>
    </row>
    <row r="5363" spans="50:50" x14ac:dyDescent="0.25">
      <c r="AX5363" s="141"/>
    </row>
    <row r="5380" spans="50:53" x14ac:dyDescent="0.25">
      <c r="AX5380" s="141"/>
    </row>
    <row r="5381" spans="50:53" x14ac:dyDescent="0.25">
      <c r="AX5381" s="141"/>
    </row>
    <row r="5382" spans="50:53" x14ac:dyDescent="0.25">
      <c r="AX5382" s="141"/>
    </row>
    <row r="5383" spans="50:53" x14ac:dyDescent="0.25">
      <c r="AX5383" s="141"/>
    </row>
    <row r="5384" spans="50:53" x14ac:dyDescent="0.25">
      <c r="AX5384" s="141"/>
    </row>
    <row r="5385" spans="50:53" x14ac:dyDescent="0.25">
      <c r="AX5385" s="141"/>
    </row>
    <row r="5386" spans="50:53" x14ac:dyDescent="0.25">
      <c r="AX5386" s="141"/>
    </row>
    <row r="5390" spans="50:53" x14ac:dyDescent="0.25">
      <c r="BA5390" s="141"/>
    </row>
    <row r="5403" spans="50:50" x14ac:dyDescent="0.25">
      <c r="AX5403" s="141"/>
    </row>
    <row r="5404" spans="50:50" x14ac:dyDescent="0.25">
      <c r="AX5404" s="141"/>
    </row>
    <row r="5405" spans="50:50" x14ac:dyDescent="0.25">
      <c r="AX5405" s="141"/>
    </row>
    <row r="5406" spans="50:50" x14ac:dyDescent="0.25">
      <c r="AX5406" s="141"/>
    </row>
    <row r="5407" spans="50:50" x14ac:dyDescent="0.25">
      <c r="AX5407" s="141"/>
    </row>
    <row r="5408" spans="50:50" x14ac:dyDescent="0.25">
      <c r="AX5408" s="141"/>
    </row>
    <row r="5409" spans="50:53" x14ac:dyDescent="0.25">
      <c r="AX5409" s="141"/>
    </row>
    <row r="5410" spans="50:53" x14ac:dyDescent="0.25">
      <c r="AX5410" s="141"/>
    </row>
    <row r="5415" spans="50:53" x14ac:dyDescent="0.25">
      <c r="BA5415" s="141"/>
    </row>
    <row r="5439" spans="53:53" x14ac:dyDescent="0.25">
      <c r="BA5439" s="141"/>
    </row>
    <row r="5474" spans="50:50" x14ac:dyDescent="0.25">
      <c r="AX5474" s="141"/>
    </row>
    <row r="5475" spans="50:50" x14ac:dyDescent="0.25">
      <c r="AX5475" s="141"/>
    </row>
    <row r="5476" spans="50:50" x14ac:dyDescent="0.25">
      <c r="AX5476" s="141"/>
    </row>
    <row r="5477" spans="50:50" x14ac:dyDescent="0.25">
      <c r="AX5477" s="141"/>
    </row>
    <row r="5478" spans="50:50" x14ac:dyDescent="0.25">
      <c r="AX5478" s="141"/>
    </row>
    <row r="5479" spans="50:50" x14ac:dyDescent="0.25">
      <c r="AX5479" s="141"/>
    </row>
    <row r="5480" spans="50:50" x14ac:dyDescent="0.25">
      <c r="AX5480" s="141"/>
    </row>
    <row r="5481" spans="50:50" x14ac:dyDescent="0.25">
      <c r="AX5481" s="141"/>
    </row>
    <row r="5482" spans="50:50" x14ac:dyDescent="0.25">
      <c r="AX5482" s="141"/>
    </row>
    <row r="5483" spans="50:50" x14ac:dyDescent="0.25">
      <c r="AX5483" s="141"/>
    </row>
    <row r="5499" spans="50:50" x14ac:dyDescent="0.25">
      <c r="AX5499" s="141"/>
    </row>
    <row r="5500" spans="50:50" x14ac:dyDescent="0.25">
      <c r="AX5500" s="141"/>
    </row>
    <row r="5501" spans="50:50" x14ac:dyDescent="0.25">
      <c r="AX5501" s="141"/>
    </row>
    <row r="5502" spans="50:50" x14ac:dyDescent="0.25">
      <c r="AX5502" s="141"/>
    </row>
    <row r="5503" spans="50:50" x14ac:dyDescent="0.25">
      <c r="AX5503" s="141"/>
    </row>
    <row r="5504" spans="50:50" x14ac:dyDescent="0.25">
      <c r="AX5504" s="141"/>
    </row>
    <row r="5505" spans="50:50" x14ac:dyDescent="0.25">
      <c r="AX5505" s="141"/>
    </row>
    <row r="5506" spans="50:50" x14ac:dyDescent="0.25">
      <c r="AX5506" s="141"/>
    </row>
    <row r="5507" spans="50:50" x14ac:dyDescent="0.25">
      <c r="AX5507" s="141"/>
    </row>
    <row r="5523" spans="50:50" x14ac:dyDescent="0.25">
      <c r="AX5523" s="141"/>
    </row>
    <row r="5524" spans="50:50" x14ac:dyDescent="0.25">
      <c r="AX5524" s="141"/>
    </row>
    <row r="5525" spans="50:50" x14ac:dyDescent="0.25">
      <c r="AX5525" s="141"/>
    </row>
    <row r="5526" spans="50:50" x14ac:dyDescent="0.25">
      <c r="AX5526" s="141"/>
    </row>
    <row r="5527" spans="50:50" x14ac:dyDescent="0.25">
      <c r="AX5527" s="141"/>
    </row>
    <row r="5528" spans="50:50" x14ac:dyDescent="0.25">
      <c r="AX5528" s="141"/>
    </row>
    <row r="5529" spans="50:50" x14ac:dyDescent="0.25">
      <c r="AX5529" s="141"/>
    </row>
    <row r="5530" spans="50:50" x14ac:dyDescent="0.25">
      <c r="AX5530" s="141"/>
    </row>
    <row r="5531" spans="50:50" x14ac:dyDescent="0.25">
      <c r="AX5531" s="141"/>
    </row>
    <row r="5547" spans="50:50" x14ac:dyDescent="0.25">
      <c r="AX5547" s="141"/>
    </row>
    <row r="5548" spans="50:50" x14ac:dyDescent="0.25">
      <c r="AX5548" s="141"/>
    </row>
    <row r="5549" spans="50:50" x14ac:dyDescent="0.25">
      <c r="AX5549" s="141"/>
    </row>
    <row r="5550" spans="50:50" x14ac:dyDescent="0.25">
      <c r="AX5550" s="141"/>
    </row>
    <row r="5551" spans="50:50" x14ac:dyDescent="0.25">
      <c r="AX5551" s="141"/>
    </row>
    <row r="5552" spans="50:50" x14ac:dyDescent="0.25">
      <c r="AX5552" s="141"/>
    </row>
    <row r="5553" spans="50:50" x14ac:dyDescent="0.25">
      <c r="AX5553" s="141"/>
    </row>
    <row r="5554" spans="50:50" x14ac:dyDescent="0.25">
      <c r="AX5554" s="141"/>
    </row>
    <row r="5555" spans="50:50" x14ac:dyDescent="0.25">
      <c r="AX5555" s="141"/>
    </row>
    <row r="5571" spans="50:50" x14ac:dyDescent="0.25">
      <c r="AX5571" s="141"/>
    </row>
    <row r="5572" spans="50:50" x14ac:dyDescent="0.25">
      <c r="AX5572" s="141"/>
    </row>
    <row r="5573" spans="50:50" x14ac:dyDescent="0.25">
      <c r="AX5573" s="141"/>
    </row>
    <row r="5574" spans="50:50" x14ac:dyDescent="0.25">
      <c r="AX5574" s="141"/>
    </row>
    <row r="5575" spans="50:50" x14ac:dyDescent="0.25">
      <c r="AX5575" s="141"/>
    </row>
    <row r="5576" spans="50:50" x14ac:dyDescent="0.25">
      <c r="AX5576" s="141"/>
    </row>
    <row r="5577" spans="50:50" x14ac:dyDescent="0.25">
      <c r="AX5577" s="141"/>
    </row>
    <row r="5578" spans="50:50" x14ac:dyDescent="0.25">
      <c r="AX5578" s="141"/>
    </row>
    <row r="5579" spans="50:50" x14ac:dyDescent="0.25">
      <c r="AX5579" s="141"/>
    </row>
    <row r="5595" spans="50:50" x14ac:dyDescent="0.25">
      <c r="AX5595" s="141"/>
    </row>
    <row r="5596" spans="50:50" x14ac:dyDescent="0.25">
      <c r="AX5596" s="141"/>
    </row>
    <row r="5597" spans="50:50" x14ac:dyDescent="0.25">
      <c r="AX5597" s="141"/>
    </row>
    <row r="5598" spans="50:50" x14ac:dyDescent="0.25">
      <c r="AX5598" s="141"/>
    </row>
    <row r="5599" spans="50:50" x14ac:dyDescent="0.25">
      <c r="AX5599" s="141"/>
    </row>
    <row r="5600" spans="50:50" x14ac:dyDescent="0.25">
      <c r="AX5600" s="141"/>
    </row>
    <row r="5601" spans="50:50" x14ac:dyDescent="0.25">
      <c r="AX5601" s="141"/>
    </row>
    <row r="5602" spans="50:50" x14ac:dyDescent="0.25">
      <c r="AX5602" s="141"/>
    </row>
    <row r="5603" spans="50:50" x14ac:dyDescent="0.25">
      <c r="AX5603" s="141"/>
    </row>
    <row r="5618" spans="50:50" x14ac:dyDescent="0.25">
      <c r="AX5618" s="141"/>
    </row>
    <row r="5619" spans="50:50" x14ac:dyDescent="0.25">
      <c r="AX5619" s="141"/>
    </row>
    <row r="5620" spans="50:50" x14ac:dyDescent="0.25">
      <c r="AX5620" s="141"/>
    </row>
    <row r="5621" spans="50:50" x14ac:dyDescent="0.25">
      <c r="AX5621" s="141"/>
    </row>
    <row r="5622" spans="50:50" x14ac:dyDescent="0.25">
      <c r="AX5622" s="141"/>
    </row>
    <row r="5623" spans="50:50" x14ac:dyDescent="0.25">
      <c r="AX5623" s="141"/>
    </row>
    <row r="5624" spans="50:50" x14ac:dyDescent="0.25">
      <c r="AX5624" s="141"/>
    </row>
    <row r="5625" spans="50:50" x14ac:dyDescent="0.25">
      <c r="AX5625" s="141"/>
    </row>
    <row r="5626" spans="50:50" x14ac:dyDescent="0.25">
      <c r="AX5626" s="141"/>
    </row>
    <row r="5627" spans="50:50" x14ac:dyDescent="0.25">
      <c r="AX5627" s="141"/>
    </row>
    <row r="5642" spans="50:50" x14ac:dyDescent="0.25">
      <c r="AX5642" s="141"/>
    </row>
    <row r="5643" spans="50:50" x14ac:dyDescent="0.25">
      <c r="AX5643" s="141"/>
    </row>
    <row r="5644" spans="50:50" x14ac:dyDescent="0.25">
      <c r="AX5644" s="141"/>
    </row>
    <row r="5645" spans="50:50" x14ac:dyDescent="0.25">
      <c r="AX5645" s="141"/>
    </row>
    <row r="5646" spans="50:50" x14ac:dyDescent="0.25">
      <c r="AX5646" s="141"/>
    </row>
    <row r="5647" spans="50:50" x14ac:dyDescent="0.25">
      <c r="AX5647" s="141"/>
    </row>
    <row r="5648" spans="50:50" x14ac:dyDescent="0.25">
      <c r="AX5648" s="141"/>
    </row>
    <row r="5649" spans="50:50" x14ac:dyDescent="0.25">
      <c r="AX5649" s="141"/>
    </row>
    <row r="5650" spans="50:50" x14ac:dyDescent="0.25">
      <c r="AX5650" s="141"/>
    </row>
    <row r="5651" spans="50:50" x14ac:dyDescent="0.25">
      <c r="AX5651" s="141"/>
    </row>
    <row r="5667" spans="50:50" x14ac:dyDescent="0.25">
      <c r="AX5667" s="141"/>
    </row>
    <row r="5668" spans="50:50" x14ac:dyDescent="0.25">
      <c r="AX5668" s="141"/>
    </row>
    <row r="5669" spans="50:50" x14ac:dyDescent="0.25">
      <c r="AX5669" s="141"/>
    </row>
    <row r="5670" spans="50:50" x14ac:dyDescent="0.25">
      <c r="AX5670" s="141"/>
    </row>
    <row r="5671" spans="50:50" x14ac:dyDescent="0.25">
      <c r="AX5671" s="141"/>
    </row>
    <row r="5672" spans="50:50" x14ac:dyDescent="0.25">
      <c r="AX5672" s="141"/>
    </row>
    <row r="5673" spans="50:50" x14ac:dyDescent="0.25">
      <c r="AX5673" s="141"/>
    </row>
    <row r="5674" spans="50:50" x14ac:dyDescent="0.25">
      <c r="AX5674" s="141"/>
    </row>
    <row r="5675" spans="50:50" x14ac:dyDescent="0.25">
      <c r="AX5675" s="141"/>
    </row>
    <row r="5691" spans="50:50" x14ac:dyDescent="0.25">
      <c r="AX5691" s="141"/>
    </row>
    <row r="5692" spans="50:50" x14ac:dyDescent="0.25">
      <c r="AX5692" s="141"/>
    </row>
    <row r="5693" spans="50:50" x14ac:dyDescent="0.25">
      <c r="AX5693" s="141"/>
    </row>
    <row r="5694" spans="50:50" x14ac:dyDescent="0.25">
      <c r="AX5694" s="141"/>
    </row>
    <row r="5695" spans="50:50" x14ac:dyDescent="0.25">
      <c r="AX5695" s="141"/>
    </row>
    <row r="5696" spans="50:50" x14ac:dyDescent="0.25">
      <c r="AX5696" s="141"/>
    </row>
    <row r="5697" spans="50:50" x14ac:dyDescent="0.25">
      <c r="AX5697" s="141"/>
    </row>
    <row r="5698" spans="50:50" x14ac:dyDescent="0.25">
      <c r="AX5698" s="141"/>
    </row>
    <row r="5699" spans="50:50" x14ac:dyDescent="0.25">
      <c r="AX5699" s="141"/>
    </row>
    <row r="5715" spans="50:53" x14ac:dyDescent="0.25">
      <c r="AX5715" s="141"/>
    </row>
    <row r="5716" spans="50:53" x14ac:dyDescent="0.25">
      <c r="AX5716" s="141"/>
    </row>
    <row r="5717" spans="50:53" x14ac:dyDescent="0.25">
      <c r="AX5717" s="141"/>
    </row>
    <row r="5718" spans="50:53" x14ac:dyDescent="0.25">
      <c r="AX5718" s="141"/>
    </row>
    <row r="5719" spans="50:53" x14ac:dyDescent="0.25">
      <c r="AX5719" s="141"/>
    </row>
    <row r="5720" spans="50:53" x14ac:dyDescent="0.25">
      <c r="AX5720" s="141"/>
    </row>
    <row r="5721" spans="50:53" x14ac:dyDescent="0.25">
      <c r="AX5721" s="141"/>
    </row>
    <row r="5722" spans="50:53" x14ac:dyDescent="0.25">
      <c r="AX5722" s="141"/>
    </row>
    <row r="5725" spans="50:53" x14ac:dyDescent="0.25">
      <c r="BA5725" s="141"/>
    </row>
    <row r="5739" spans="50:50" x14ac:dyDescent="0.25">
      <c r="AX5739" s="141"/>
    </row>
    <row r="5740" spans="50:50" x14ac:dyDescent="0.25">
      <c r="AX5740" s="141"/>
    </row>
    <row r="5741" spans="50:50" x14ac:dyDescent="0.25">
      <c r="AX5741" s="141"/>
    </row>
    <row r="5742" spans="50:50" x14ac:dyDescent="0.25">
      <c r="AX5742" s="141"/>
    </row>
    <row r="5743" spans="50:50" x14ac:dyDescent="0.25">
      <c r="AX5743" s="141"/>
    </row>
    <row r="5744" spans="50:50" x14ac:dyDescent="0.25">
      <c r="AX5744" s="141"/>
    </row>
    <row r="5745" spans="50:50" x14ac:dyDescent="0.25">
      <c r="AX5745" s="141"/>
    </row>
    <row r="5746" spans="50:50" x14ac:dyDescent="0.25">
      <c r="AX5746" s="141"/>
    </row>
    <row r="5763" spans="50:50" x14ac:dyDescent="0.25">
      <c r="AX5763" s="141"/>
    </row>
    <row r="5764" spans="50:50" x14ac:dyDescent="0.25">
      <c r="AX5764" s="141"/>
    </row>
    <row r="5765" spans="50:50" x14ac:dyDescent="0.25">
      <c r="AX5765" s="141"/>
    </row>
    <row r="5766" spans="50:50" x14ac:dyDescent="0.25">
      <c r="AX5766" s="141"/>
    </row>
    <row r="5767" spans="50:50" x14ac:dyDescent="0.25">
      <c r="AX5767" s="141"/>
    </row>
    <row r="5768" spans="50:50" x14ac:dyDescent="0.25">
      <c r="AX5768" s="141"/>
    </row>
    <row r="5769" spans="50:50" x14ac:dyDescent="0.25">
      <c r="AX5769" s="141"/>
    </row>
    <row r="5770" spans="50:50" x14ac:dyDescent="0.25">
      <c r="AX5770" s="141"/>
    </row>
    <row r="5787" spans="50:50" x14ac:dyDescent="0.25">
      <c r="AX5787" s="141"/>
    </row>
    <row r="5788" spans="50:50" x14ac:dyDescent="0.25">
      <c r="AX5788" s="141"/>
    </row>
    <row r="5789" spans="50:50" x14ac:dyDescent="0.25">
      <c r="AX5789" s="141"/>
    </row>
    <row r="5790" spans="50:50" x14ac:dyDescent="0.25">
      <c r="AX5790" s="141"/>
    </row>
    <row r="5791" spans="50:50" x14ac:dyDescent="0.25">
      <c r="AX5791" s="141"/>
    </row>
    <row r="5792" spans="50:50" x14ac:dyDescent="0.25">
      <c r="AX5792" s="141"/>
    </row>
    <row r="5793" spans="50:53" x14ac:dyDescent="0.25">
      <c r="AX5793" s="141"/>
    </row>
    <row r="5794" spans="50:53" x14ac:dyDescent="0.25">
      <c r="AX5794" s="141"/>
    </row>
    <row r="5801" spans="50:53" x14ac:dyDescent="0.25">
      <c r="BA5801" s="141"/>
    </row>
    <row r="5802" spans="50:53" x14ac:dyDescent="0.25">
      <c r="BA5802" s="141"/>
    </row>
    <row r="5811" spans="50:50" x14ac:dyDescent="0.25">
      <c r="AX5811" s="141"/>
    </row>
    <row r="5812" spans="50:50" x14ac:dyDescent="0.25">
      <c r="AX5812" s="141"/>
    </row>
    <row r="5813" spans="50:50" x14ac:dyDescent="0.25">
      <c r="AX5813" s="141"/>
    </row>
    <row r="5814" spans="50:50" x14ac:dyDescent="0.25">
      <c r="AX5814" s="141"/>
    </row>
    <row r="5815" spans="50:50" x14ac:dyDescent="0.25">
      <c r="AX5815" s="141"/>
    </row>
    <row r="5816" spans="50:50" x14ac:dyDescent="0.25">
      <c r="AX5816" s="141"/>
    </row>
    <row r="5817" spans="50:50" x14ac:dyDescent="0.25">
      <c r="AX5817" s="141"/>
    </row>
    <row r="5818" spans="50:50" x14ac:dyDescent="0.25">
      <c r="AX5818" s="141"/>
    </row>
    <row r="5834" spans="50:50" x14ac:dyDescent="0.25">
      <c r="AX5834" s="141"/>
    </row>
    <row r="5835" spans="50:50" x14ac:dyDescent="0.25">
      <c r="AX5835" s="141"/>
    </row>
    <row r="5836" spans="50:50" x14ac:dyDescent="0.25">
      <c r="AX5836" s="141"/>
    </row>
    <row r="5837" spans="50:50" x14ac:dyDescent="0.25">
      <c r="AX5837" s="141"/>
    </row>
    <row r="5838" spans="50:50" x14ac:dyDescent="0.25">
      <c r="AX5838" s="141"/>
    </row>
    <row r="5839" spans="50:50" x14ac:dyDescent="0.25">
      <c r="AX5839" s="141"/>
    </row>
    <row r="5840" spans="50:50" x14ac:dyDescent="0.25">
      <c r="AX5840" s="141"/>
    </row>
    <row r="5841" spans="50:50" x14ac:dyDescent="0.25">
      <c r="AX5841" s="141"/>
    </row>
    <row r="5842" spans="50:50" x14ac:dyDescent="0.25">
      <c r="AX5842" s="141"/>
    </row>
    <row r="5843" spans="50:50" x14ac:dyDescent="0.25">
      <c r="AX5843" s="141"/>
    </row>
    <row r="5859" spans="50:50" x14ac:dyDescent="0.25">
      <c r="AX5859" s="141"/>
    </row>
    <row r="5860" spans="50:50" x14ac:dyDescent="0.25">
      <c r="AX5860" s="141"/>
    </row>
    <row r="5861" spans="50:50" x14ac:dyDescent="0.25">
      <c r="AX5861" s="141"/>
    </row>
    <row r="5862" spans="50:50" x14ac:dyDescent="0.25">
      <c r="AX5862" s="141"/>
    </row>
    <row r="5863" spans="50:50" x14ac:dyDescent="0.25">
      <c r="AX5863" s="141"/>
    </row>
    <row r="5864" spans="50:50" x14ac:dyDescent="0.25">
      <c r="AX5864" s="141"/>
    </row>
    <row r="5865" spans="50:50" x14ac:dyDescent="0.25">
      <c r="AX5865" s="141"/>
    </row>
    <row r="5866" spans="50:50" x14ac:dyDescent="0.25">
      <c r="AX5866" s="141"/>
    </row>
    <row r="5883" spans="50:50" x14ac:dyDescent="0.25">
      <c r="AX5883" s="141"/>
    </row>
    <row r="5884" spans="50:50" x14ac:dyDescent="0.25">
      <c r="AX5884" s="141"/>
    </row>
    <row r="5885" spans="50:50" x14ac:dyDescent="0.25">
      <c r="AX5885" s="141"/>
    </row>
    <row r="5886" spans="50:50" x14ac:dyDescent="0.25">
      <c r="AX5886" s="141"/>
    </row>
    <row r="5887" spans="50:50" x14ac:dyDescent="0.25">
      <c r="AX5887" s="141"/>
    </row>
    <row r="5888" spans="50:50" x14ac:dyDescent="0.25">
      <c r="AX5888" s="141"/>
    </row>
    <row r="5889" spans="50:50" x14ac:dyDescent="0.25">
      <c r="AX5889" s="141"/>
    </row>
    <row r="5890" spans="50:50" x14ac:dyDescent="0.25">
      <c r="AX5890" s="141"/>
    </row>
    <row r="5906" spans="50:50" x14ac:dyDescent="0.25">
      <c r="AX5906" s="141"/>
    </row>
    <row r="5907" spans="50:50" x14ac:dyDescent="0.25">
      <c r="AX5907" s="141"/>
    </row>
    <row r="5908" spans="50:50" x14ac:dyDescent="0.25">
      <c r="AX5908" s="141"/>
    </row>
    <row r="5909" spans="50:50" x14ac:dyDescent="0.25">
      <c r="AX5909" s="141"/>
    </row>
    <row r="5910" spans="50:50" x14ac:dyDescent="0.25">
      <c r="AX5910" s="141"/>
    </row>
    <row r="5911" spans="50:50" x14ac:dyDescent="0.25">
      <c r="AX5911" s="141"/>
    </row>
    <row r="5912" spans="50:50" x14ac:dyDescent="0.25">
      <c r="AX5912" s="141"/>
    </row>
    <row r="5913" spans="50:50" x14ac:dyDescent="0.25">
      <c r="AX5913" s="141"/>
    </row>
    <row r="5914" spans="50:50" x14ac:dyDescent="0.25">
      <c r="AX5914" s="141"/>
    </row>
    <row r="5931" spans="50:50" x14ac:dyDescent="0.25">
      <c r="AX5931" s="141"/>
    </row>
    <row r="5932" spans="50:50" x14ac:dyDescent="0.25">
      <c r="AX5932" s="141"/>
    </row>
    <row r="5933" spans="50:50" x14ac:dyDescent="0.25">
      <c r="AX5933" s="141"/>
    </row>
    <row r="5934" spans="50:50" x14ac:dyDescent="0.25">
      <c r="AX5934" s="141"/>
    </row>
    <row r="5935" spans="50:50" x14ac:dyDescent="0.25">
      <c r="AX5935" s="141"/>
    </row>
    <row r="5936" spans="50:50" x14ac:dyDescent="0.25">
      <c r="AX5936" s="141"/>
    </row>
    <row r="5937" spans="50:53" x14ac:dyDescent="0.25">
      <c r="AX5937" s="141"/>
    </row>
    <row r="5938" spans="50:53" x14ac:dyDescent="0.25">
      <c r="AX5938" s="141"/>
    </row>
    <row r="5942" spans="50:53" x14ac:dyDescent="0.25">
      <c r="BA5942" s="141"/>
    </row>
    <row r="5955" spans="50:50" x14ac:dyDescent="0.25">
      <c r="AX5955" s="141"/>
    </row>
    <row r="5956" spans="50:50" x14ac:dyDescent="0.25">
      <c r="AX5956" s="141"/>
    </row>
    <row r="5957" spans="50:50" x14ac:dyDescent="0.25">
      <c r="AX5957" s="141"/>
    </row>
    <row r="5958" spans="50:50" x14ac:dyDescent="0.25">
      <c r="AX5958" s="141"/>
    </row>
    <row r="5959" spans="50:50" x14ac:dyDescent="0.25">
      <c r="AX5959" s="141"/>
    </row>
    <row r="5960" spans="50:50" x14ac:dyDescent="0.25">
      <c r="AX5960" s="141"/>
    </row>
    <row r="5961" spans="50:50" x14ac:dyDescent="0.25">
      <c r="AX5961" s="141"/>
    </row>
    <row r="5962" spans="50:50" x14ac:dyDescent="0.25">
      <c r="AX5962" s="141"/>
    </row>
    <row r="5979" spans="50:50" x14ac:dyDescent="0.25">
      <c r="AX5979" s="141"/>
    </row>
    <row r="5980" spans="50:50" x14ac:dyDescent="0.25">
      <c r="AX5980" s="141"/>
    </row>
    <row r="5981" spans="50:50" x14ac:dyDescent="0.25">
      <c r="AX5981" s="141"/>
    </row>
    <row r="5982" spans="50:50" x14ac:dyDescent="0.25">
      <c r="AX5982" s="141"/>
    </row>
    <row r="5983" spans="50:50" x14ac:dyDescent="0.25">
      <c r="AX5983" s="141"/>
    </row>
    <row r="5984" spans="50:50" x14ac:dyDescent="0.25">
      <c r="AX5984" s="141"/>
    </row>
    <row r="5985" spans="50:53" x14ac:dyDescent="0.25">
      <c r="AX5985" s="141"/>
    </row>
    <row r="5986" spans="50:53" x14ac:dyDescent="0.25">
      <c r="AX5986" s="141"/>
    </row>
    <row r="5993" spans="50:53" x14ac:dyDescent="0.25">
      <c r="BA5993" s="141"/>
    </row>
    <row r="6003" spans="50:50" x14ac:dyDescent="0.25">
      <c r="AX6003" s="141"/>
    </row>
    <row r="6004" spans="50:50" x14ac:dyDescent="0.25">
      <c r="AX6004" s="141"/>
    </row>
    <row r="6005" spans="50:50" x14ac:dyDescent="0.25">
      <c r="AX6005" s="141"/>
    </row>
    <row r="6006" spans="50:50" x14ac:dyDescent="0.25">
      <c r="AX6006" s="141"/>
    </row>
    <row r="6007" spans="50:50" x14ac:dyDescent="0.25">
      <c r="AX6007" s="141"/>
    </row>
    <row r="6008" spans="50:50" x14ac:dyDescent="0.25">
      <c r="AX6008" s="141"/>
    </row>
    <row r="6009" spans="50:50" x14ac:dyDescent="0.25">
      <c r="AX6009" s="141"/>
    </row>
    <row r="6010" spans="50:50" x14ac:dyDescent="0.25">
      <c r="AX6010" s="141"/>
    </row>
    <row r="6027" spans="50:50" x14ac:dyDescent="0.25">
      <c r="AX6027" s="141"/>
    </row>
    <row r="6028" spans="50:50" x14ac:dyDescent="0.25">
      <c r="AX6028" s="141"/>
    </row>
    <row r="6030" spans="50:50" x14ac:dyDescent="0.25">
      <c r="AX6030" s="141"/>
    </row>
    <row r="6031" spans="50:50" x14ac:dyDescent="0.25">
      <c r="AX6031" s="141"/>
    </row>
    <row r="6032" spans="50:50" x14ac:dyDescent="0.25">
      <c r="AX6032" s="141"/>
    </row>
    <row r="6033" spans="50:50" x14ac:dyDescent="0.25">
      <c r="AX6033" s="141"/>
    </row>
    <row r="6034" spans="50:50" x14ac:dyDescent="0.25">
      <c r="AX6034" s="141"/>
    </row>
    <row r="6035" spans="50:50" x14ac:dyDescent="0.25">
      <c r="AX6035" s="141"/>
    </row>
    <row r="6050" spans="50:50" x14ac:dyDescent="0.25">
      <c r="AX6050" s="141"/>
    </row>
    <row r="6051" spans="50:50" x14ac:dyDescent="0.25">
      <c r="AX6051" s="141"/>
    </row>
    <row r="6058" spans="50:50" x14ac:dyDescent="0.25">
      <c r="AX6058" s="141"/>
    </row>
    <row r="6059" spans="50:50" x14ac:dyDescent="0.25">
      <c r="AX6059" s="141"/>
    </row>
    <row r="6074" spans="50:50" x14ac:dyDescent="0.25">
      <c r="AX6074" s="141"/>
    </row>
    <row r="6075" spans="50:50" x14ac:dyDescent="0.25">
      <c r="AX6075" s="141"/>
    </row>
    <row r="6081" spans="50:50" x14ac:dyDescent="0.25">
      <c r="AX6081" s="141"/>
    </row>
    <row r="6082" spans="50:50" x14ac:dyDescent="0.25">
      <c r="AX6082" s="141"/>
    </row>
    <row r="6083" spans="50:50" x14ac:dyDescent="0.25">
      <c r="AX6083" s="141"/>
    </row>
    <row r="6098" spans="50:50" x14ac:dyDescent="0.25">
      <c r="AX6098" s="141"/>
    </row>
    <row r="6099" spans="50:50" x14ac:dyDescent="0.25">
      <c r="AX6099" s="141"/>
    </row>
    <row r="6100" spans="50:50" x14ac:dyDescent="0.25">
      <c r="AX6100" s="141"/>
    </row>
    <row r="6101" spans="50:50" x14ac:dyDescent="0.25">
      <c r="AX6101" s="141"/>
    </row>
    <row r="6102" spans="50:50" x14ac:dyDescent="0.25">
      <c r="AX6102" s="141"/>
    </row>
    <row r="6103" spans="50:50" x14ac:dyDescent="0.25">
      <c r="AX6103" s="141"/>
    </row>
    <row r="6104" spans="50:50" x14ac:dyDescent="0.25">
      <c r="AX6104" s="141"/>
    </row>
    <row r="6105" spans="50:50" x14ac:dyDescent="0.25">
      <c r="AX6105" s="141"/>
    </row>
    <row r="6106" spans="50:50" x14ac:dyDescent="0.25">
      <c r="AX6106" s="141"/>
    </row>
    <row r="6123" spans="50:50" x14ac:dyDescent="0.25">
      <c r="AX6123" s="141"/>
    </row>
    <row r="6124" spans="50:50" x14ac:dyDescent="0.25">
      <c r="AX6124" s="141"/>
    </row>
    <row r="6125" spans="50:50" x14ac:dyDescent="0.25">
      <c r="AX6125" s="141"/>
    </row>
    <row r="6126" spans="50:50" x14ac:dyDescent="0.25">
      <c r="AX6126" s="141"/>
    </row>
    <row r="6127" spans="50:50" x14ac:dyDescent="0.25">
      <c r="AX6127" s="141"/>
    </row>
    <row r="6128" spans="50:50" x14ac:dyDescent="0.25">
      <c r="AX6128" s="141"/>
    </row>
    <row r="6129" spans="50:50" x14ac:dyDescent="0.25">
      <c r="AX6129" s="141"/>
    </row>
    <row r="6130" spans="50:50" x14ac:dyDescent="0.25">
      <c r="AX6130" s="141"/>
    </row>
    <row r="6147" spans="50:53" x14ac:dyDescent="0.25">
      <c r="AX6147" s="141"/>
    </row>
    <row r="6148" spans="50:53" x14ac:dyDescent="0.25">
      <c r="AX6148" s="141"/>
    </row>
    <row r="6149" spans="50:53" x14ac:dyDescent="0.25">
      <c r="AX6149" s="141"/>
    </row>
    <row r="6150" spans="50:53" x14ac:dyDescent="0.25">
      <c r="AX6150" s="141"/>
    </row>
    <row r="6151" spans="50:53" x14ac:dyDescent="0.25">
      <c r="AX6151" s="141"/>
    </row>
    <row r="6152" spans="50:53" x14ac:dyDescent="0.25">
      <c r="AX6152" s="141"/>
    </row>
    <row r="6153" spans="50:53" x14ac:dyDescent="0.25">
      <c r="AX6153" s="141"/>
    </row>
    <row r="6154" spans="50:53" x14ac:dyDescent="0.25">
      <c r="AX6154" s="141"/>
    </row>
    <row r="6159" spans="50:53" x14ac:dyDescent="0.25">
      <c r="BA6159" s="141"/>
    </row>
    <row r="6160" spans="50:53" x14ac:dyDescent="0.25">
      <c r="BA6160" s="141"/>
    </row>
    <row r="6161" spans="50:53" x14ac:dyDescent="0.25">
      <c r="BA6161" s="141"/>
    </row>
    <row r="6171" spans="50:53" x14ac:dyDescent="0.25">
      <c r="AX6171" s="141"/>
    </row>
    <row r="6172" spans="50:53" x14ac:dyDescent="0.25">
      <c r="AX6172" s="141"/>
    </row>
    <row r="6173" spans="50:53" x14ac:dyDescent="0.25">
      <c r="AX6173" s="141"/>
    </row>
    <row r="6174" spans="50:53" x14ac:dyDescent="0.25">
      <c r="AX6174" s="141"/>
    </row>
    <row r="6175" spans="50:53" x14ac:dyDescent="0.25">
      <c r="AX6175" s="141"/>
    </row>
    <row r="6176" spans="50:53" x14ac:dyDescent="0.25">
      <c r="AX6176" s="141"/>
    </row>
    <row r="6177" spans="50:50" x14ac:dyDescent="0.25">
      <c r="AX6177" s="141"/>
    </row>
    <row r="6178" spans="50:50" x14ac:dyDescent="0.25">
      <c r="AX6178" s="141"/>
    </row>
    <row r="6194" spans="50:50" x14ac:dyDescent="0.25">
      <c r="AX6194" s="141"/>
    </row>
    <row r="6195" spans="50:50" x14ac:dyDescent="0.25">
      <c r="AX6195" s="141"/>
    </row>
    <row r="6202" spans="50:50" x14ac:dyDescent="0.25">
      <c r="AX6202" s="141"/>
    </row>
    <row r="6203" spans="50:50" x14ac:dyDescent="0.25">
      <c r="AX6203" s="141"/>
    </row>
    <row r="6218" spans="50:50" x14ac:dyDescent="0.25">
      <c r="AX6218" s="141"/>
    </row>
    <row r="6227" spans="50:50" x14ac:dyDescent="0.25">
      <c r="AX6227" s="141"/>
    </row>
    <row r="6242" spans="50:50" x14ac:dyDescent="0.25">
      <c r="AX6242" s="141"/>
    </row>
    <row r="6251" spans="50:50" x14ac:dyDescent="0.25">
      <c r="AX6251" s="141"/>
    </row>
    <row r="6267" spans="50:50" x14ac:dyDescent="0.25">
      <c r="AX6267" s="141"/>
    </row>
    <row r="6268" spans="50:50" x14ac:dyDescent="0.25">
      <c r="AX6268" s="141"/>
    </row>
    <row r="6269" spans="50:50" x14ac:dyDescent="0.25">
      <c r="AX6269" s="141"/>
    </row>
    <row r="6270" spans="50:50" x14ac:dyDescent="0.25">
      <c r="AX6270" s="141"/>
    </row>
    <row r="6271" spans="50:50" x14ac:dyDescent="0.25">
      <c r="AX6271" s="141"/>
    </row>
    <row r="6272" spans="50:50" x14ac:dyDescent="0.25">
      <c r="AX6272" s="141"/>
    </row>
    <row r="6273" spans="50:53" x14ac:dyDescent="0.25">
      <c r="AX6273" s="141"/>
    </row>
    <row r="6274" spans="50:53" x14ac:dyDescent="0.25">
      <c r="AX6274" s="141"/>
    </row>
    <row r="6278" spans="50:53" x14ac:dyDescent="0.25">
      <c r="BA6278" s="141"/>
    </row>
    <row r="6280" spans="50:53" x14ac:dyDescent="0.25">
      <c r="BA6280" s="141"/>
    </row>
    <row r="6291" spans="50:50" x14ac:dyDescent="0.25">
      <c r="AX6291" s="141"/>
    </row>
    <row r="6292" spans="50:50" x14ac:dyDescent="0.25">
      <c r="AX6292" s="141"/>
    </row>
    <row r="6293" spans="50:50" x14ac:dyDescent="0.25">
      <c r="AX6293" s="141"/>
    </row>
    <row r="6294" spans="50:50" x14ac:dyDescent="0.25">
      <c r="AX6294" s="141"/>
    </row>
    <row r="6295" spans="50:50" x14ac:dyDescent="0.25">
      <c r="AX6295" s="141"/>
    </row>
    <row r="6296" spans="50:50" x14ac:dyDescent="0.25">
      <c r="AX6296" s="141"/>
    </row>
    <row r="6297" spans="50:50" x14ac:dyDescent="0.25">
      <c r="AX6297" s="141"/>
    </row>
    <row r="6298" spans="50:50" x14ac:dyDescent="0.25">
      <c r="AX6298" s="141"/>
    </row>
    <row r="6314" spans="50:50" x14ac:dyDescent="0.25">
      <c r="AX6314" s="141"/>
    </row>
    <row r="6322" spans="50:50" x14ac:dyDescent="0.25">
      <c r="AX6322" s="141"/>
    </row>
    <row r="6323" spans="50:50" x14ac:dyDescent="0.25">
      <c r="AX6323" s="141"/>
    </row>
    <row r="6338" spans="50:50" x14ac:dyDescent="0.25">
      <c r="AX6338" s="141"/>
    </row>
    <row r="6339" spans="50:50" x14ac:dyDescent="0.25">
      <c r="AX6339" s="141"/>
    </row>
    <row r="6344" spans="50:50" x14ac:dyDescent="0.25">
      <c r="AX6344" s="141"/>
    </row>
    <row r="6345" spans="50:50" x14ac:dyDescent="0.25">
      <c r="AX6345" s="141"/>
    </row>
    <row r="6346" spans="50:50" x14ac:dyDescent="0.25">
      <c r="AX6346" s="141"/>
    </row>
    <row r="6347" spans="50:50" x14ac:dyDescent="0.25">
      <c r="AX6347" s="141"/>
    </row>
    <row r="6362" spans="50:50" x14ac:dyDescent="0.25">
      <c r="AX6362" s="141"/>
    </row>
    <row r="6363" spans="50:50" x14ac:dyDescent="0.25">
      <c r="AX6363" s="141"/>
    </row>
    <row r="6371" spans="50:50" x14ac:dyDescent="0.25">
      <c r="AX6371" s="141"/>
    </row>
    <row r="6386" spans="50:50" x14ac:dyDescent="0.25">
      <c r="AX6386" s="141"/>
    </row>
    <row r="6394" spans="50:50" x14ac:dyDescent="0.25">
      <c r="AX6394" s="141"/>
    </row>
    <row r="6395" spans="50:50" x14ac:dyDescent="0.25">
      <c r="AX6395" s="141"/>
    </row>
    <row r="6410" spans="50:50" x14ac:dyDescent="0.25">
      <c r="AX6410" s="141"/>
    </row>
    <row r="6411" spans="50:50" x14ac:dyDescent="0.25">
      <c r="AX6411" s="141"/>
    </row>
    <row r="6418" spans="50:50" x14ac:dyDescent="0.25">
      <c r="AX6418" s="141"/>
    </row>
    <row r="6419" spans="50:50" x14ac:dyDescent="0.25">
      <c r="AX6419" s="141"/>
    </row>
    <row r="6435" spans="50:50" x14ac:dyDescent="0.25">
      <c r="AX6435" s="141"/>
    </row>
    <row r="6436" spans="50:50" x14ac:dyDescent="0.25">
      <c r="AX6436" s="141"/>
    </row>
    <row r="6437" spans="50:50" x14ac:dyDescent="0.25">
      <c r="AX6437" s="141"/>
    </row>
    <row r="6438" spans="50:50" x14ac:dyDescent="0.25">
      <c r="AX6438" s="141"/>
    </row>
    <row r="6439" spans="50:50" x14ac:dyDescent="0.25">
      <c r="AX6439" s="141"/>
    </row>
    <row r="6440" spans="50:50" x14ac:dyDescent="0.25">
      <c r="AX6440" s="141"/>
    </row>
    <row r="6441" spans="50:50" x14ac:dyDescent="0.25">
      <c r="AX6441" s="141"/>
    </row>
    <row r="6442" spans="50:50" x14ac:dyDescent="0.25">
      <c r="AX6442" s="141"/>
    </row>
    <row r="6459" spans="50:50" x14ac:dyDescent="0.25">
      <c r="AX6459" s="141"/>
    </row>
    <row r="6460" spans="50:50" x14ac:dyDescent="0.25">
      <c r="AX6460" s="141"/>
    </row>
    <row r="6461" spans="50:50" x14ac:dyDescent="0.25">
      <c r="AX6461" s="141"/>
    </row>
    <row r="6462" spans="50:50" x14ac:dyDescent="0.25">
      <c r="AX6462" s="141"/>
    </row>
    <row r="6463" spans="50:50" x14ac:dyDescent="0.25">
      <c r="AX6463" s="141"/>
    </row>
    <row r="6464" spans="50:50" x14ac:dyDescent="0.25">
      <c r="AX6464" s="141"/>
    </row>
    <row r="6465" spans="50:50" x14ac:dyDescent="0.25">
      <c r="AX6465" s="141"/>
    </row>
    <row r="6466" spans="50:50" x14ac:dyDescent="0.25">
      <c r="AX6466" s="141"/>
    </row>
    <row r="6483" spans="50:50" x14ac:dyDescent="0.25">
      <c r="AX6483" s="141"/>
    </row>
    <row r="6484" spans="50:50" x14ac:dyDescent="0.25">
      <c r="AX6484" s="141"/>
    </row>
    <row r="6485" spans="50:50" x14ac:dyDescent="0.25">
      <c r="AX6485" s="141"/>
    </row>
    <row r="6486" spans="50:50" x14ac:dyDescent="0.25">
      <c r="AX6486" s="141"/>
    </row>
    <row r="6487" spans="50:50" x14ac:dyDescent="0.25">
      <c r="AX6487" s="141"/>
    </row>
    <row r="6488" spans="50:50" x14ac:dyDescent="0.25">
      <c r="AX6488" s="141"/>
    </row>
    <row r="6489" spans="50:50" x14ac:dyDescent="0.25">
      <c r="AX6489" s="141"/>
    </row>
    <row r="6490" spans="50:50" x14ac:dyDescent="0.25">
      <c r="AX6490" s="141"/>
    </row>
    <row r="6507" spans="50:50" x14ac:dyDescent="0.25">
      <c r="AX6507" s="141"/>
    </row>
    <row r="6508" spans="50:50" x14ac:dyDescent="0.25">
      <c r="AX6508" s="141"/>
    </row>
    <row r="6509" spans="50:50" x14ac:dyDescent="0.25">
      <c r="AX6509" s="141"/>
    </row>
    <row r="6510" spans="50:50" x14ac:dyDescent="0.25">
      <c r="AX6510" s="141"/>
    </row>
    <row r="6511" spans="50:50" x14ac:dyDescent="0.25">
      <c r="AX6511" s="141"/>
    </row>
    <row r="6512" spans="50:50" x14ac:dyDescent="0.25">
      <c r="AX6512" s="141"/>
    </row>
    <row r="6513" spans="50:50" x14ac:dyDescent="0.25">
      <c r="AX6513" s="141"/>
    </row>
    <row r="6531" spans="50:53" x14ac:dyDescent="0.25">
      <c r="AX6531" s="141"/>
    </row>
    <row r="6532" spans="50:53" x14ac:dyDescent="0.25">
      <c r="AX6532" s="141"/>
    </row>
    <row r="6533" spans="50:53" x14ac:dyDescent="0.25">
      <c r="AX6533" s="141"/>
    </row>
    <row r="6534" spans="50:53" x14ac:dyDescent="0.25">
      <c r="AX6534" s="141"/>
    </row>
    <row r="6535" spans="50:53" x14ac:dyDescent="0.25">
      <c r="AX6535" s="141"/>
    </row>
    <row r="6536" spans="50:53" x14ac:dyDescent="0.25">
      <c r="AX6536" s="141"/>
    </row>
    <row r="6537" spans="50:53" x14ac:dyDescent="0.25">
      <c r="AX6537" s="141"/>
    </row>
    <row r="6543" spans="50:53" x14ac:dyDescent="0.25">
      <c r="BA6543" s="141"/>
    </row>
    <row r="6557" spans="50:50" x14ac:dyDescent="0.25">
      <c r="AX6557" s="141"/>
    </row>
    <row r="6558" spans="50:50" x14ac:dyDescent="0.25">
      <c r="AX6558" s="141"/>
    </row>
    <row r="6566" spans="53:53" x14ac:dyDescent="0.25">
      <c r="BA6566" s="141"/>
    </row>
    <row r="6568" spans="53:53" x14ac:dyDescent="0.25">
      <c r="BA6568" s="141"/>
    </row>
    <row r="6579" spans="50:50" x14ac:dyDescent="0.25">
      <c r="AX6579" s="141"/>
    </row>
    <row r="6580" spans="50:50" x14ac:dyDescent="0.25">
      <c r="AX6580" s="141"/>
    </row>
    <row r="6581" spans="50:50" x14ac:dyDescent="0.25">
      <c r="AX6581" s="141"/>
    </row>
    <row r="6582" spans="50:50" x14ac:dyDescent="0.25">
      <c r="AX6582" s="141"/>
    </row>
    <row r="6583" spans="50:50" x14ac:dyDescent="0.25">
      <c r="AX6583" s="141"/>
    </row>
    <row r="6584" spans="50:50" x14ac:dyDescent="0.25">
      <c r="AX6584" s="141"/>
    </row>
    <row r="6585" spans="50:50" x14ac:dyDescent="0.25">
      <c r="AX6585" s="141"/>
    </row>
    <row r="6586" spans="50:50" x14ac:dyDescent="0.25">
      <c r="AX6586" s="141"/>
    </row>
    <row r="6603" spans="50:50" x14ac:dyDescent="0.25">
      <c r="AX6603" s="141"/>
    </row>
    <row r="6604" spans="50:50" x14ac:dyDescent="0.25">
      <c r="AX6604" s="141"/>
    </row>
    <row r="6605" spans="50:50" x14ac:dyDescent="0.25">
      <c r="AX6605" s="141"/>
    </row>
    <row r="6606" spans="50:50" x14ac:dyDescent="0.25">
      <c r="AX6606" s="141"/>
    </row>
    <row r="6607" spans="50:50" x14ac:dyDescent="0.25">
      <c r="AX6607" s="141"/>
    </row>
    <row r="6608" spans="50:50" x14ac:dyDescent="0.25">
      <c r="AX6608" s="141"/>
    </row>
    <row r="6609" spans="50:53" x14ac:dyDescent="0.25">
      <c r="AX6609" s="141"/>
    </row>
    <row r="6610" spans="50:53" x14ac:dyDescent="0.25">
      <c r="AX6610" s="141"/>
    </row>
    <row r="6623" spans="50:53" x14ac:dyDescent="0.25">
      <c r="BA6623" s="141"/>
    </row>
    <row r="6627" spans="50:53" x14ac:dyDescent="0.25">
      <c r="AX6627" s="141"/>
    </row>
    <row r="6628" spans="50:53" x14ac:dyDescent="0.25">
      <c r="AX6628" s="141"/>
    </row>
    <row r="6629" spans="50:53" x14ac:dyDescent="0.25">
      <c r="AX6629" s="141"/>
    </row>
    <row r="6630" spans="50:53" x14ac:dyDescent="0.25">
      <c r="AX6630" s="141"/>
    </row>
    <row r="6631" spans="50:53" x14ac:dyDescent="0.25">
      <c r="AX6631" s="141"/>
    </row>
    <row r="6632" spans="50:53" x14ac:dyDescent="0.25">
      <c r="AX6632" s="141"/>
    </row>
    <row r="6633" spans="50:53" x14ac:dyDescent="0.25">
      <c r="AX6633" s="141"/>
    </row>
    <row r="6634" spans="50:53" x14ac:dyDescent="0.25">
      <c r="AX6634" s="141"/>
    </row>
    <row r="6636" spans="50:53" x14ac:dyDescent="0.25">
      <c r="BA6636" s="141"/>
    </row>
    <row r="6651" spans="50:50" x14ac:dyDescent="0.25">
      <c r="AX6651" s="141"/>
    </row>
    <row r="6652" spans="50:50" x14ac:dyDescent="0.25">
      <c r="AX6652" s="141"/>
    </row>
    <row r="6653" spans="50:50" x14ac:dyDescent="0.25">
      <c r="AX6653" s="141"/>
    </row>
    <row r="6654" spans="50:50" x14ac:dyDescent="0.25">
      <c r="AX6654" s="141"/>
    </row>
    <row r="6655" spans="50:50" x14ac:dyDescent="0.25">
      <c r="AX6655" s="141"/>
    </row>
    <row r="6656" spans="50:50" x14ac:dyDescent="0.25">
      <c r="AX6656" s="141"/>
    </row>
    <row r="6657" spans="50:53" x14ac:dyDescent="0.25">
      <c r="AX6657" s="141"/>
    </row>
    <row r="6658" spans="50:53" x14ac:dyDescent="0.25">
      <c r="AX6658" s="141"/>
    </row>
    <row r="6664" spans="50:53" x14ac:dyDescent="0.25">
      <c r="BA6664" s="141"/>
    </row>
    <row r="6675" spans="50:50" x14ac:dyDescent="0.25">
      <c r="AX6675" s="141"/>
    </row>
    <row r="6676" spans="50:50" x14ac:dyDescent="0.25">
      <c r="AX6676" s="141"/>
    </row>
    <row r="6677" spans="50:50" x14ac:dyDescent="0.25">
      <c r="AX6677" s="141"/>
    </row>
    <row r="6678" spans="50:50" x14ac:dyDescent="0.25">
      <c r="AX6678" s="141"/>
    </row>
    <row r="6679" spans="50:50" x14ac:dyDescent="0.25">
      <c r="AX6679" s="141"/>
    </row>
    <row r="6680" spans="50:50" x14ac:dyDescent="0.25">
      <c r="AX6680" s="141"/>
    </row>
    <row r="6681" spans="50:50" x14ac:dyDescent="0.25">
      <c r="AX6681" s="141"/>
    </row>
    <row r="6682" spans="50:50" x14ac:dyDescent="0.25">
      <c r="AX6682" s="141"/>
    </row>
    <row r="6699" spans="50:50" x14ac:dyDescent="0.25">
      <c r="AX6699" s="141"/>
    </row>
    <row r="6700" spans="50:50" x14ac:dyDescent="0.25">
      <c r="AX6700" s="141"/>
    </row>
    <row r="6701" spans="50:50" x14ac:dyDescent="0.25">
      <c r="AX6701" s="141"/>
    </row>
    <row r="6702" spans="50:50" x14ac:dyDescent="0.25">
      <c r="AX6702" s="141"/>
    </row>
    <row r="6703" spans="50:50" x14ac:dyDescent="0.25">
      <c r="AX6703" s="141"/>
    </row>
    <row r="6704" spans="50:50" x14ac:dyDescent="0.25">
      <c r="AX6704" s="141"/>
    </row>
    <row r="6705" spans="50:50" x14ac:dyDescent="0.25">
      <c r="AX6705" s="141"/>
    </row>
    <row r="6706" spans="50:50" x14ac:dyDescent="0.25">
      <c r="AX6706" s="141"/>
    </row>
    <row r="6722" spans="50:50" x14ac:dyDescent="0.25">
      <c r="AX6722" s="141"/>
    </row>
    <row r="6723" spans="50:50" x14ac:dyDescent="0.25">
      <c r="AX6723" s="141"/>
    </row>
    <row r="6727" spans="50:50" x14ac:dyDescent="0.25">
      <c r="AX6727" s="141"/>
    </row>
    <row r="6728" spans="50:50" x14ac:dyDescent="0.25">
      <c r="AX6728" s="141"/>
    </row>
    <row r="6729" spans="50:50" x14ac:dyDescent="0.25">
      <c r="AX6729" s="141"/>
    </row>
    <row r="6730" spans="50:50" x14ac:dyDescent="0.25">
      <c r="AX6730" s="141"/>
    </row>
    <row r="6746" spans="50:50" x14ac:dyDescent="0.25">
      <c r="AX6746" s="141"/>
    </row>
    <row r="6747" spans="50:50" x14ac:dyDescent="0.25">
      <c r="AX6747" s="141"/>
    </row>
    <row r="6753" spans="50:50" x14ac:dyDescent="0.25">
      <c r="AX6753" s="141"/>
    </row>
    <row r="6754" spans="50:50" x14ac:dyDescent="0.25">
      <c r="AX6754" s="141"/>
    </row>
    <row r="6771" spans="50:53" x14ac:dyDescent="0.25">
      <c r="AX6771" s="141"/>
    </row>
    <row r="6772" spans="50:53" x14ac:dyDescent="0.25">
      <c r="AX6772" s="141"/>
    </row>
    <row r="6773" spans="50:53" x14ac:dyDescent="0.25">
      <c r="AX6773" s="141"/>
    </row>
    <row r="6774" spans="50:53" x14ac:dyDescent="0.25">
      <c r="AX6774" s="141"/>
    </row>
    <row r="6775" spans="50:53" x14ac:dyDescent="0.25">
      <c r="AX6775" s="141"/>
    </row>
    <row r="6776" spans="50:53" x14ac:dyDescent="0.25">
      <c r="AX6776" s="141"/>
    </row>
    <row r="6777" spans="50:53" x14ac:dyDescent="0.25">
      <c r="AX6777" s="141"/>
    </row>
    <row r="6778" spans="50:53" x14ac:dyDescent="0.25">
      <c r="AX6778" s="141"/>
    </row>
    <row r="6784" spans="50:53" x14ac:dyDescent="0.25">
      <c r="BA6784" s="141"/>
    </row>
    <row r="6795" spans="50:50" x14ac:dyDescent="0.25">
      <c r="AX6795" s="141"/>
    </row>
    <row r="6796" spans="50:50" x14ac:dyDescent="0.25">
      <c r="AX6796" s="141"/>
    </row>
    <row r="6797" spans="50:50" x14ac:dyDescent="0.25">
      <c r="AX6797" s="141"/>
    </row>
    <row r="6798" spans="50:50" x14ac:dyDescent="0.25">
      <c r="AX6798" s="141"/>
    </row>
    <row r="6799" spans="50:50" x14ac:dyDescent="0.25">
      <c r="AX6799" s="141"/>
    </row>
    <row r="6800" spans="50:50" x14ac:dyDescent="0.25">
      <c r="AX6800" s="141"/>
    </row>
    <row r="6801" spans="50:50" x14ac:dyDescent="0.25">
      <c r="AX6801" s="141"/>
    </row>
    <row r="6802" spans="50:50" x14ac:dyDescent="0.25">
      <c r="AX6802" s="141"/>
    </row>
    <row r="6819" spans="50:50" x14ac:dyDescent="0.25">
      <c r="AX6819" s="141"/>
    </row>
    <row r="6820" spans="50:50" x14ac:dyDescent="0.25">
      <c r="AX6820" s="141"/>
    </row>
    <row r="6821" spans="50:50" x14ac:dyDescent="0.25">
      <c r="AX6821" s="141"/>
    </row>
    <row r="6822" spans="50:50" x14ac:dyDescent="0.25">
      <c r="AX6822" s="141"/>
    </row>
    <row r="6823" spans="50:50" x14ac:dyDescent="0.25">
      <c r="AX6823" s="141"/>
    </row>
    <row r="6824" spans="50:50" x14ac:dyDescent="0.25">
      <c r="AX6824" s="141"/>
    </row>
    <row r="6825" spans="50:50" x14ac:dyDescent="0.25">
      <c r="AX6825" s="141"/>
    </row>
    <row r="6826" spans="50:50" x14ac:dyDescent="0.25">
      <c r="AX6826" s="141"/>
    </row>
    <row r="6891" spans="50:50" x14ac:dyDescent="0.25">
      <c r="AX6891" s="141"/>
    </row>
    <row r="6898" spans="50:50" x14ac:dyDescent="0.25">
      <c r="AX6898" s="141"/>
    </row>
    <row r="6915" spans="50:53" x14ac:dyDescent="0.25">
      <c r="AX6915" s="141"/>
    </row>
    <row r="6916" spans="50:53" x14ac:dyDescent="0.25">
      <c r="AX6916" s="141"/>
    </row>
    <row r="6917" spans="50:53" x14ac:dyDescent="0.25">
      <c r="AX6917" s="141"/>
    </row>
    <row r="6918" spans="50:53" x14ac:dyDescent="0.25">
      <c r="AX6918" s="141"/>
    </row>
    <row r="6919" spans="50:53" x14ac:dyDescent="0.25">
      <c r="AX6919" s="141"/>
    </row>
    <row r="6920" spans="50:53" x14ac:dyDescent="0.25">
      <c r="AX6920" s="141"/>
    </row>
    <row r="6921" spans="50:53" x14ac:dyDescent="0.25">
      <c r="AX6921" s="141"/>
    </row>
    <row r="6922" spans="50:53" x14ac:dyDescent="0.25">
      <c r="AX6922" s="141"/>
    </row>
    <row r="6926" spans="50:53" x14ac:dyDescent="0.25">
      <c r="BA6926" s="141"/>
    </row>
    <row r="6939" spans="50:50" x14ac:dyDescent="0.25">
      <c r="AX6939" s="141"/>
    </row>
    <row r="6940" spans="50:50" x14ac:dyDescent="0.25">
      <c r="AX6940" s="141"/>
    </row>
    <row r="6941" spans="50:50" x14ac:dyDescent="0.25">
      <c r="AX6941" s="141"/>
    </row>
    <row r="6942" spans="50:50" x14ac:dyDescent="0.25">
      <c r="AX6942" s="141"/>
    </row>
    <row r="6943" spans="50:50" x14ac:dyDescent="0.25">
      <c r="AX6943" s="141"/>
    </row>
    <row r="6944" spans="50:50" x14ac:dyDescent="0.25">
      <c r="AX6944" s="141"/>
    </row>
    <row r="6945" spans="50:50" x14ac:dyDescent="0.25">
      <c r="AX6945" s="141"/>
    </row>
    <row r="6946" spans="50:50" x14ac:dyDescent="0.25">
      <c r="AX6946" s="141"/>
    </row>
    <row r="6962" spans="50:50" x14ac:dyDescent="0.25">
      <c r="AX6962" s="141"/>
    </row>
    <row r="6963" spans="50:50" x14ac:dyDescent="0.25">
      <c r="AX6963" s="141"/>
    </row>
    <row r="6964" spans="50:50" x14ac:dyDescent="0.25">
      <c r="AX6964" s="141"/>
    </row>
    <row r="6965" spans="50:50" x14ac:dyDescent="0.25">
      <c r="AX6965" s="141"/>
    </row>
    <row r="6966" spans="50:50" x14ac:dyDescent="0.25">
      <c r="AX6966" s="141"/>
    </row>
    <row r="6967" spans="50:50" x14ac:dyDescent="0.25">
      <c r="AX6967" s="141"/>
    </row>
    <row r="6968" spans="50:50" x14ac:dyDescent="0.25">
      <c r="AX6968" s="141"/>
    </row>
    <row r="6969" spans="50:50" x14ac:dyDescent="0.25">
      <c r="AX6969" s="141"/>
    </row>
    <row r="6970" spans="50:50" x14ac:dyDescent="0.25">
      <c r="AX6970" s="141"/>
    </row>
    <row r="6987" spans="50:50" x14ac:dyDescent="0.25">
      <c r="AX6987" s="141"/>
    </row>
    <row r="6988" spans="50:50" x14ac:dyDescent="0.25">
      <c r="AX6988" s="141"/>
    </row>
    <row r="6989" spans="50:50" x14ac:dyDescent="0.25">
      <c r="AX6989" s="141"/>
    </row>
    <row r="6990" spans="50:50" x14ac:dyDescent="0.25">
      <c r="AX6990" s="141"/>
    </row>
    <row r="6991" spans="50:50" x14ac:dyDescent="0.25">
      <c r="AX6991" s="141"/>
    </row>
    <row r="6992" spans="50:50" x14ac:dyDescent="0.25">
      <c r="AX6992" s="141"/>
    </row>
    <row r="6993" spans="50:53" x14ac:dyDescent="0.25">
      <c r="AX6993" s="141"/>
    </row>
    <row r="6994" spans="50:53" x14ac:dyDescent="0.25">
      <c r="AX6994" s="141"/>
    </row>
    <row r="6996" spans="50:53" x14ac:dyDescent="0.25">
      <c r="BA6996" s="141"/>
    </row>
    <row r="7011" spans="50:53" x14ac:dyDescent="0.25">
      <c r="AX7011" s="141"/>
    </row>
    <row r="7012" spans="50:53" x14ac:dyDescent="0.25">
      <c r="AX7012" s="141"/>
    </row>
    <row r="7013" spans="50:53" x14ac:dyDescent="0.25">
      <c r="AX7013" s="141"/>
    </row>
    <row r="7014" spans="50:53" x14ac:dyDescent="0.25">
      <c r="AX7014" s="141"/>
    </row>
    <row r="7015" spans="50:53" x14ac:dyDescent="0.25">
      <c r="AX7015" s="141"/>
    </row>
    <row r="7016" spans="50:53" x14ac:dyDescent="0.25">
      <c r="AX7016" s="141"/>
    </row>
    <row r="7017" spans="50:53" x14ac:dyDescent="0.25">
      <c r="AX7017" s="141"/>
    </row>
    <row r="7018" spans="50:53" x14ac:dyDescent="0.25">
      <c r="AX7018" s="141"/>
    </row>
    <row r="7022" spans="50:53" x14ac:dyDescent="0.25">
      <c r="BA7022" s="141"/>
    </row>
    <row r="7025" spans="50:53" x14ac:dyDescent="0.25">
      <c r="BA7025" s="141"/>
    </row>
    <row r="7034" spans="50:53" x14ac:dyDescent="0.25">
      <c r="AX7034" s="141"/>
    </row>
    <row r="7035" spans="50:53" x14ac:dyDescent="0.25">
      <c r="AX7035" s="141"/>
    </row>
    <row r="7037" spans="50:53" x14ac:dyDescent="0.25">
      <c r="AX7037" s="141"/>
    </row>
    <row r="7038" spans="50:53" x14ac:dyDescent="0.25">
      <c r="AX7038" s="141"/>
    </row>
    <row r="7042" spans="50:50" x14ac:dyDescent="0.25">
      <c r="AX7042" s="141"/>
    </row>
    <row r="7059" spans="50:50" x14ac:dyDescent="0.25">
      <c r="AX7059" s="141"/>
    </row>
    <row r="7065" spans="50:50" x14ac:dyDescent="0.25">
      <c r="AX7065" s="141"/>
    </row>
    <row r="7066" spans="50:50" x14ac:dyDescent="0.25">
      <c r="AX7066" s="141"/>
    </row>
    <row r="7083" spans="50:50" x14ac:dyDescent="0.25">
      <c r="AX7083" s="141"/>
    </row>
    <row r="7084" spans="50:50" x14ac:dyDescent="0.25">
      <c r="AX7084" s="141"/>
    </row>
    <row r="7085" spans="50:50" x14ac:dyDescent="0.25">
      <c r="AX7085" s="141"/>
    </row>
    <row r="7086" spans="50:50" x14ac:dyDescent="0.25">
      <c r="AX7086" s="141"/>
    </row>
    <row r="7087" spans="50:50" x14ac:dyDescent="0.25">
      <c r="AX7087" s="141"/>
    </row>
    <row r="7088" spans="50:50" x14ac:dyDescent="0.25">
      <c r="AX7088" s="141"/>
    </row>
    <row r="7089" spans="50:50" x14ac:dyDescent="0.25">
      <c r="AX7089" s="141"/>
    </row>
    <row r="7090" spans="50:50" x14ac:dyDescent="0.25">
      <c r="AX7090" s="141"/>
    </row>
    <row r="7109" spans="50:50" x14ac:dyDescent="0.25">
      <c r="AX7109" s="141"/>
    </row>
    <row r="7110" spans="50:50" x14ac:dyDescent="0.25">
      <c r="AX7110" s="141"/>
    </row>
    <row r="7111" spans="50:50" x14ac:dyDescent="0.25">
      <c r="AX7111" s="141"/>
    </row>
    <row r="7112" spans="50:50" x14ac:dyDescent="0.25">
      <c r="AX7112" s="141"/>
    </row>
    <row r="7113" spans="50:50" x14ac:dyDescent="0.25">
      <c r="AX7113" s="141"/>
    </row>
    <row r="7131" spans="50:50" x14ac:dyDescent="0.25">
      <c r="AX7131" s="141"/>
    </row>
    <row r="7132" spans="50:50" x14ac:dyDescent="0.25">
      <c r="AX7132" s="141"/>
    </row>
    <row r="7133" spans="50:50" x14ac:dyDescent="0.25">
      <c r="AX7133" s="141"/>
    </row>
    <row r="7134" spans="50:50" x14ac:dyDescent="0.25">
      <c r="AX7134" s="141"/>
    </row>
    <row r="7135" spans="50:50" x14ac:dyDescent="0.25">
      <c r="AX7135" s="141"/>
    </row>
    <row r="7136" spans="50:50" x14ac:dyDescent="0.25">
      <c r="AX7136" s="141"/>
    </row>
    <row r="7137" spans="50:50" x14ac:dyDescent="0.25">
      <c r="AX7137" s="141"/>
    </row>
    <row r="7138" spans="50:50" x14ac:dyDescent="0.25">
      <c r="AX7138" s="141"/>
    </row>
    <row r="7155" spans="50:50" x14ac:dyDescent="0.25">
      <c r="AX7155" s="141"/>
    </row>
    <row r="7156" spans="50:50" x14ac:dyDescent="0.25">
      <c r="AX7156" s="141"/>
    </row>
    <row r="7157" spans="50:50" x14ac:dyDescent="0.25">
      <c r="AX7157" s="141"/>
    </row>
    <row r="7162" spans="50:50" x14ac:dyDescent="0.25">
      <c r="AX7162" s="141"/>
    </row>
    <row r="7176" spans="50:53" x14ac:dyDescent="0.25">
      <c r="BA7176" s="141"/>
    </row>
    <row r="7179" spans="50:53" x14ac:dyDescent="0.25">
      <c r="AX7179" s="141"/>
    </row>
    <row r="7186" spans="50:50" x14ac:dyDescent="0.25">
      <c r="AX7186" s="141"/>
    </row>
    <row r="7202" spans="50:50" x14ac:dyDescent="0.25">
      <c r="AX7202" s="141"/>
    </row>
    <row r="7203" spans="50:50" x14ac:dyDescent="0.25">
      <c r="AX7203" s="141"/>
    </row>
    <row r="7210" spans="50:50" x14ac:dyDescent="0.25">
      <c r="AX7210" s="141"/>
    </row>
    <row r="7227" spans="50:50" x14ac:dyDescent="0.25">
      <c r="AX7227" s="141"/>
    </row>
    <row r="7234" spans="50:50" x14ac:dyDescent="0.25">
      <c r="AX7234" s="141"/>
    </row>
    <row r="7251" spans="47:53" x14ac:dyDescent="0.25">
      <c r="AX7251" s="141"/>
    </row>
    <row r="7256" spans="47:53" x14ac:dyDescent="0.25">
      <c r="AU7256" s="141"/>
      <c r="AX7256" s="141"/>
    </row>
    <row r="7257" spans="47:53" x14ac:dyDescent="0.25">
      <c r="AX7257" s="141"/>
    </row>
    <row r="7258" spans="47:53" x14ac:dyDescent="0.25">
      <c r="AX7258" s="141"/>
    </row>
    <row r="7264" spans="47:53" x14ac:dyDescent="0.25">
      <c r="BA7264" s="141"/>
    </row>
    <row r="7275" spans="50:50" x14ac:dyDescent="0.25">
      <c r="AX7275" s="141"/>
    </row>
    <row r="7276" spans="50:50" x14ac:dyDescent="0.25">
      <c r="AX7276" s="141"/>
    </row>
    <row r="7277" spans="50:50" x14ac:dyDescent="0.25">
      <c r="AX7277" s="141"/>
    </row>
    <row r="7278" spans="50:50" x14ac:dyDescent="0.25">
      <c r="AX7278" s="141"/>
    </row>
    <row r="7279" spans="50:50" x14ac:dyDescent="0.25">
      <c r="AX7279" s="141"/>
    </row>
    <row r="7280" spans="50:50" x14ac:dyDescent="0.25">
      <c r="AX7280" s="141"/>
    </row>
    <row r="7281" spans="50:50" x14ac:dyDescent="0.25">
      <c r="AX7281" s="141"/>
    </row>
    <row r="7282" spans="50:50" x14ac:dyDescent="0.25">
      <c r="AX7282" s="141"/>
    </row>
    <row r="7299" spans="50:50" x14ac:dyDescent="0.25">
      <c r="AX7299" s="141"/>
    </row>
    <row r="7300" spans="50:50" x14ac:dyDescent="0.25">
      <c r="AX7300" s="141"/>
    </row>
    <row r="7301" spans="50:50" x14ac:dyDescent="0.25">
      <c r="AX7301" s="141"/>
    </row>
    <row r="7302" spans="50:50" x14ac:dyDescent="0.25">
      <c r="AX7302" s="141"/>
    </row>
    <row r="7303" spans="50:50" x14ac:dyDescent="0.25">
      <c r="AX7303" s="141"/>
    </row>
    <row r="7304" spans="50:50" x14ac:dyDescent="0.25">
      <c r="AX7304" s="141"/>
    </row>
    <row r="7305" spans="50:50" x14ac:dyDescent="0.25">
      <c r="AX7305" s="141"/>
    </row>
    <row r="7306" spans="50:50" x14ac:dyDescent="0.25">
      <c r="AX7306" s="141"/>
    </row>
    <row r="7323" spans="50:50" x14ac:dyDescent="0.25">
      <c r="AX7323" s="141"/>
    </row>
    <row r="7324" spans="50:50" x14ac:dyDescent="0.25">
      <c r="AX7324" s="141"/>
    </row>
    <row r="7325" spans="50:50" x14ac:dyDescent="0.25">
      <c r="AX7325" s="141"/>
    </row>
    <row r="7326" spans="50:50" x14ac:dyDescent="0.25">
      <c r="AX7326" s="141"/>
    </row>
    <row r="7327" spans="50:50" x14ac:dyDescent="0.25">
      <c r="AX7327" s="141"/>
    </row>
    <row r="7328" spans="50:50" x14ac:dyDescent="0.25">
      <c r="AX7328" s="141"/>
    </row>
    <row r="7329" spans="50:53" x14ac:dyDescent="0.25">
      <c r="AX7329" s="141"/>
    </row>
    <row r="7330" spans="50:53" x14ac:dyDescent="0.25">
      <c r="AX7330" s="141"/>
    </row>
    <row r="7335" spans="50:53" x14ac:dyDescent="0.25">
      <c r="BA7335" s="141"/>
    </row>
    <row r="7358" spans="53:53" x14ac:dyDescent="0.25">
      <c r="BA7358" s="141"/>
    </row>
    <row r="7359" spans="53:53" x14ac:dyDescent="0.25">
      <c r="BA7359" s="141"/>
    </row>
    <row r="7360" spans="53:53" x14ac:dyDescent="0.25">
      <c r="BA7360" s="141"/>
    </row>
    <row r="7371" spans="50:50" x14ac:dyDescent="0.25">
      <c r="AX7371" s="141"/>
    </row>
    <row r="7372" spans="50:50" x14ac:dyDescent="0.25">
      <c r="AX7372" s="141"/>
    </row>
    <row r="7376" spans="50:50" x14ac:dyDescent="0.25">
      <c r="AX7376" s="141"/>
    </row>
    <row r="7377" spans="50:50" x14ac:dyDescent="0.25">
      <c r="AX7377" s="141"/>
    </row>
    <row r="7378" spans="50:50" x14ac:dyDescent="0.25">
      <c r="AX7378" s="141"/>
    </row>
    <row r="7395" spans="50:50" x14ac:dyDescent="0.25">
      <c r="AX7395" s="141"/>
    </row>
    <row r="7402" spans="50:50" x14ac:dyDescent="0.25">
      <c r="AX7402" s="141"/>
    </row>
    <row r="7419" spans="50:50" x14ac:dyDescent="0.25">
      <c r="AX7419" s="141"/>
    </row>
    <row r="7426" spans="50:50" x14ac:dyDescent="0.25">
      <c r="AX7426" s="141"/>
    </row>
    <row r="7443" spans="50:50" x14ac:dyDescent="0.25">
      <c r="AX7443" s="141"/>
    </row>
    <row r="7444" spans="50:50" x14ac:dyDescent="0.25">
      <c r="AX7444" s="141"/>
    </row>
    <row r="7445" spans="50:50" x14ac:dyDescent="0.25">
      <c r="AX7445" s="141"/>
    </row>
    <row r="7446" spans="50:50" x14ac:dyDescent="0.25">
      <c r="AX7446" s="141"/>
    </row>
    <row r="7447" spans="50:50" x14ac:dyDescent="0.25">
      <c r="AX7447" s="141"/>
    </row>
    <row r="7448" spans="50:50" x14ac:dyDescent="0.25">
      <c r="AX7448" s="141"/>
    </row>
    <row r="7449" spans="50:50" x14ac:dyDescent="0.25">
      <c r="AX7449" s="141"/>
    </row>
    <row r="7563" spans="50:50" x14ac:dyDescent="0.25">
      <c r="AX7563" s="141"/>
    </row>
    <row r="7564" spans="50:50" x14ac:dyDescent="0.25">
      <c r="AX7564" s="141"/>
    </row>
    <row r="7565" spans="50:50" x14ac:dyDescent="0.25">
      <c r="AX7565" s="141"/>
    </row>
    <row r="7567" spans="50:50" x14ac:dyDescent="0.25">
      <c r="AX7567" s="141"/>
    </row>
    <row r="7569" spans="50:50" x14ac:dyDescent="0.25">
      <c r="AX7569" s="141"/>
    </row>
    <row r="7570" spans="50:50" x14ac:dyDescent="0.25">
      <c r="AX7570" s="141"/>
    </row>
    <row r="7587" spans="50:50" x14ac:dyDescent="0.25">
      <c r="AX7587" s="141"/>
    </row>
    <row r="7588" spans="50:50" x14ac:dyDescent="0.25">
      <c r="AX7588" s="141"/>
    </row>
    <row r="7589" spans="50:50" x14ac:dyDescent="0.25">
      <c r="AX7589" s="141"/>
    </row>
    <row r="7590" spans="50:50" x14ac:dyDescent="0.25">
      <c r="AX7590" s="141"/>
    </row>
    <row r="7591" spans="50:50" x14ac:dyDescent="0.25">
      <c r="AX7591" s="141"/>
    </row>
    <row r="7592" spans="50:50" x14ac:dyDescent="0.25">
      <c r="AX7592" s="141"/>
    </row>
    <row r="7593" spans="50:50" x14ac:dyDescent="0.25">
      <c r="AX7593" s="141"/>
    </row>
    <row r="7594" spans="50:50" x14ac:dyDescent="0.25">
      <c r="AX7594" s="141"/>
    </row>
    <row r="7611" spans="50:50" x14ac:dyDescent="0.25">
      <c r="AX7611" s="141"/>
    </row>
    <row r="7612" spans="50:50" x14ac:dyDescent="0.25">
      <c r="AX7612" s="141"/>
    </row>
    <row r="7613" spans="50:50" x14ac:dyDescent="0.25">
      <c r="AX7613" s="141"/>
    </row>
    <row r="7614" spans="50:50" x14ac:dyDescent="0.25">
      <c r="AX7614" s="141"/>
    </row>
    <row r="7615" spans="50:50" x14ac:dyDescent="0.25">
      <c r="AX7615" s="141"/>
    </row>
    <row r="7616" spans="50:50" x14ac:dyDescent="0.25">
      <c r="AX7616" s="141"/>
    </row>
    <row r="7617" spans="50:50" x14ac:dyDescent="0.25">
      <c r="AX7617" s="141"/>
    </row>
    <row r="7618" spans="50:50" x14ac:dyDescent="0.25">
      <c r="AX7618" s="141"/>
    </row>
    <row r="7635" spans="50:50" x14ac:dyDescent="0.25">
      <c r="AX7635" s="141"/>
    </row>
    <row r="7642" spans="50:50" x14ac:dyDescent="0.25">
      <c r="AX7642" s="141"/>
    </row>
    <row r="7659" spans="50:50" x14ac:dyDescent="0.25">
      <c r="AX7659" s="141"/>
    </row>
    <row r="7666" spans="50:50" x14ac:dyDescent="0.25">
      <c r="AX7666" s="141"/>
    </row>
    <row r="7683" spans="50:50" x14ac:dyDescent="0.25">
      <c r="AX7683" s="141"/>
    </row>
    <row r="7689" spans="50:50" x14ac:dyDescent="0.25">
      <c r="AX7689" s="141"/>
    </row>
    <row r="7690" spans="50:50" x14ac:dyDescent="0.25">
      <c r="AX7690" s="141"/>
    </row>
    <row r="7707" spans="50:50" x14ac:dyDescent="0.25">
      <c r="AX7707" s="141"/>
    </row>
    <row r="7713" spans="50:50" x14ac:dyDescent="0.25">
      <c r="AX7713" s="141"/>
    </row>
    <row r="7714" spans="50:50" x14ac:dyDescent="0.25">
      <c r="AX7714" s="141"/>
    </row>
    <row r="7731" spans="50:53" x14ac:dyDescent="0.25">
      <c r="AX7731" s="141"/>
    </row>
    <row r="7737" spans="50:53" x14ac:dyDescent="0.25">
      <c r="AX7737" s="141"/>
    </row>
    <row r="7738" spans="50:53" x14ac:dyDescent="0.25">
      <c r="AX7738" s="141"/>
    </row>
    <row r="7744" spans="50:53" x14ac:dyDescent="0.25">
      <c r="BA7744" s="141"/>
    </row>
    <row r="7755" spans="50:50" x14ac:dyDescent="0.25">
      <c r="AX7755" s="141"/>
    </row>
    <row r="7756" spans="50:50" x14ac:dyDescent="0.25">
      <c r="AX7756" s="141"/>
    </row>
    <row r="7760" spans="50:50" x14ac:dyDescent="0.25">
      <c r="AX7760" s="141"/>
    </row>
    <row r="7761" spans="50:50" x14ac:dyDescent="0.25">
      <c r="AX7761" s="141"/>
    </row>
    <row r="7762" spans="50:50" x14ac:dyDescent="0.25">
      <c r="AX7762" s="141"/>
    </row>
    <row r="7779" spans="50:50" x14ac:dyDescent="0.25">
      <c r="AX7779" s="141"/>
    </row>
    <row r="7785" spans="50:50" x14ac:dyDescent="0.25">
      <c r="AX7785" s="141"/>
    </row>
    <row r="7786" spans="50:50" x14ac:dyDescent="0.25">
      <c r="AX7786" s="141"/>
    </row>
    <row r="7803" spans="50:50" x14ac:dyDescent="0.25">
      <c r="AX7803" s="141"/>
    </row>
    <row r="7804" spans="50:50" x14ac:dyDescent="0.25">
      <c r="AX7804" s="141"/>
    </row>
    <row r="7805" spans="50:50" x14ac:dyDescent="0.25">
      <c r="AX7805" s="141"/>
    </row>
    <row r="7806" spans="50:50" x14ac:dyDescent="0.25">
      <c r="AX7806" s="141"/>
    </row>
    <row r="7807" spans="50:50" x14ac:dyDescent="0.25">
      <c r="AX7807" s="141"/>
    </row>
    <row r="7808" spans="50:50" x14ac:dyDescent="0.25">
      <c r="AX7808" s="141"/>
    </row>
    <row r="7809" spans="50:53" x14ac:dyDescent="0.25">
      <c r="AX7809" s="141"/>
    </row>
    <row r="7810" spans="50:53" x14ac:dyDescent="0.25">
      <c r="AX7810" s="141"/>
    </row>
    <row r="7815" spans="50:53" x14ac:dyDescent="0.25">
      <c r="BA7815" s="141"/>
    </row>
    <row r="7828" spans="50:50" x14ac:dyDescent="0.25">
      <c r="AX7828" s="141"/>
    </row>
    <row r="7829" spans="50:50" x14ac:dyDescent="0.25">
      <c r="AX7829" s="141"/>
    </row>
    <row r="7830" spans="50:50" x14ac:dyDescent="0.25">
      <c r="AX7830" s="141"/>
    </row>
    <row r="7831" spans="50:50" x14ac:dyDescent="0.25">
      <c r="AX7831" s="141"/>
    </row>
    <row r="7832" spans="50:50" x14ac:dyDescent="0.25">
      <c r="AX7832" s="141"/>
    </row>
    <row r="7833" spans="50:50" x14ac:dyDescent="0.25">
      <c r="AX7833" s="141"/>
    </row>
    <row r="7923" spans="50:50" x14ac:dyDescent="0.25">
      <c r="AX7923" s="141"/>
    </row>
    <row r="8040" spans="50:53" x14ac:dyDescent="0.25">
      <c r="BA8040" s="141"/>
    </row>
    <row r="8044" spans="50:53" x14ac:dyDescent="0.25">
      <c r="AX8044" s="141"/>
    </row>
    <row r="8045" spans="50:53" x14ac:dyDescent="0.25">
      <c r="AX8045" s="141"/>
    </row>
    <row r="8046" spans="50:53" x14ac:dyDescent="0.25">
      <c r="AX8046" s="141"/>
    </row>
    <row r="8047" spans="50:53" x14ac:dyDescent="0.25">
      <c r="AX8047" s="141"/>
    </row>
    <row r="8048" spans="50:53" x14ac:dyDescent="0.25">
      <c r="AX8048" s="141"/>
    </row>
    <row r="8049" spans="50:53" x14ac:dyDescent="0.25">
      <c r="AX8049" s="141"/>
    </row>
    <row r="8050" spans="50:53" x14ac:dyDescent="0.25">
      <c r="AX8050" s="141"/>
    </row>
    <row r="8057" spans="50:53" x14ac:dyDescent="0.25">
      <c r="BA8057" s="141"/>
    </row>
    <row r="8067" spans="50:50" x14ac:dyDescent="0.25">
      <c r="AX8067" s="141"/>
    </row>
    <row r="8068" spans="50:50" x14ac:dyDescent="0.25">
      <c r="AX8068" s="141"/>
    </row>
    <row r="8069" spans="50:50" x14ac:dyDescent="0.25">
      <c r="AX8069" s="141"/>
    </row>
    <row r="8070" spans="50:50" x14ac:dyDescent="0.25">
      <c r="AX8070" s="141"/>
    </row>
    <row r="8074" spans="50:50" x14ac:dyDescent="0.25">
      <c r="AX8074" s="141"/>
    </row>
    <row r="8091" spans="50:50" x14ac:dyDescent="0.25">
      <c r="AX8091" s="141"/>
    </row>
    <row r="8092" spans="50:50" x14ac:dyDescent="0.25">
      <c r="AX8092" s="141"/>
    </row>
    <row r="8097" spans="50:50" x14ac:dyDescent="0.25">
      <c r="AX8097" s="141"/>
    </row>
    <row r="8098" spans="50:50" x14ac:dyDescent="0.25">
      <c r="AX8098" s="141"/>
    </row>
    <row r="8115" spans="50:50" x14ac:dyDescent="0.25">
      <c r="AX8115" s="141"/>
    </row>
    <row r="8121" spans="50:50" x14ac:dyDescent="0.25">
      <c r="AX8121" s="141"/>
    </row>
    <row r="8122" spans="50:50" x14ac:dyDescent="0.25">
      <c r="AX8122" s="141"/>
    </row>
    <row r="8140" spans="50:50" x14ac:dyDescent="0.25">
      <c r="AX8140" s="141"/>
    </row>
    <row r="8141" spans="50:50" x14ac:dyDescent="0.25">
      <c r="AX8141" s="141"/>
    </row>
    <row r="8142" spans="50:50" x14ac:dyDescent="0.25">
      <c r="AX8142" s="141"/>
    </row>
    <row r="8143" spans="50:50" x14ac:dyDescent="0.25">
      <c r="AX8143" s="141"/>
    </row>
    <row r="8144" spans="50:50" x14ac:dyDescent="0.25">
      <c r="AX8144" s="141"/>
    </row>
    <row r="8145" spans="50:50" x14ac:dyDescent="0.25">
      <c r="AX8145" s="141"/>
    </row>
    <row r="8189" spans="50:50" x14ac:dyDescent="0.25">
      <c r="AX8189" s="141"/>
    </row>
    <row r="8190" spans="50:50" x14ac:dyDescent="0.25">
      <c r="AX8190" s="141"/>
    </row>
    <row r="8191" spans="50:50" x14ac:dyDescent="0.25">
      <c r="AX8191" s="141"/>
    </row>
    <row r="8200" spans="53:53" x14ac:dyDescent="0.25">
      <c r="BA8200" s="141"/>
    </row>
    <row r="8222" spans="53:53" x14ac:dyDescent="0.25">
      <c r="BA8222" s="141"/>
    </row>
    <row r="8225" spans="53:53" x14ac:dyDescent="0.25">
      <c r="BA8225" s="141"/>
    </row>
    <row r="8245" spans="53:53" x14ac:dyDescent="0.25">
      <c r="BA8245" s="141"/>
    </row>
    <row r="8246" spans="53:53" x14ac:dyDescent="0.25">
      <c r="BA8246" s="141"/>
    </row>
    <row r="8247" spans="53:53" x14ac:dyDescent="0.25">
      <c r="BA8247" s="141"/>
    </row>
    <row r="8262" spans="50:53" x14ac:dyDescent="0.25">
      <c r="AX8262" s="141"/>
    </row>
    <row r="8263" spans="50:53" x14ac:dyDescent="0.25">
      <c r="AX8263" s="141"/>
    </row>
    <row r="8271" spans="50:53" x14ac:dyDescent="0.25">
      <c r="BA8271" s="141"/>
    </row>
    <row r="8285" spans="50:50" x14ac:dyDescent="0.25">
      <c r="AX8285" s="141"/>
    </row>
    <row r="8286" spans="50:50" x14ac:dyDescent="0.25">
      <c r="AX8286" s="141"/>
    </row>
    <row r="8287" spans="50:50" x14ac:dyDescent="0.25">
      <c r="AX8287" s="141"/>
    </row>
    <row r="8288" spans="50:50" x14ac:dyDescent="0.25">
      <c r="AX8288" s="141"/>
    </row>
    <row r="8289" spans="50:50" x14ac:dyDescent="0.25">
      <c r="AX8289" s="141"/>
    </row>
    <row r="8290" spans="50:50" x14ac:dyDescent="0.25">
      <c r="AX8290" s="141"/>
    </row>
    <row r="8405" spans="50:50" x14ac:dyDescent="0.25">
      <c r="AX8405" s="141"/>
    </row>
    <row r="8406" spans="50:50" x14ac:dyDescent="0.25">
      <c r="AX8406" s="141"/>
    </row>
    <row r="8407" spans="50:50" x14ac:dyDescent="0.25">
      <c r="AX8407" s="141"/>
    </row>
    <row r="8408" spans="50:50" x14ac:dyDescent="0.25">
      <c r="AX8408" s="141"/>
    </row>
    <row r="8409" spans="50:50" x14ac:dyDescent="0.25">
      <c r="AX8409" s="141"/>
    </row>
    <row r="8410" spans="50:50" x14ac:dyDescent="0.25">
      <c r="AX8410" s="141"/>
    </row>
    <row r="8428" spans="50:50" x14ac:dyDescent="0.25">
      <c r="AX8428" s="141"/>
    </row>
    <row r="8429" spans="50:50" x14ac:dyDescent="0.25">
      <c r="AX8429" s="141"/>
    </row>
    <row r="8430" spans="50:50" x14ac:dyDescent="0.25">
      <c r="AX8430" s="141"/>
    </row>
    <row r="8431" spans="50:50" x14ac:dyDescent="0.25">
      <c r="AX8431" s="141"/>
    </row>
    <row r="8432" spans="50:50" x14ac:dyDescent="0.25">
      <c r="AX8432" s="141"/>
    </row>
    <row r="8433" spans="50:50" x14ac:dyDescent="0.25">
      <c r="AX8433" s="141"/>
    </row>
    <row r="8452" spans="50:50" x14ac:dyDescent="0.25">
      <c r="AX8452" s="141"/>
    </row>
    <row r="8453" spans="50:50" x14ac:dyDescent="0.25">
      <c r="AX8453" s="141"/>
    </row>
    <row r="8454" spans="50:50" x14ac:dyDescent="0.25">
      <c r="AX8454" s="141"/>
    </row>
    <row r="8455" spans="50:50" x14ac:dyDescent="0.25">
      <c r="AX8455" s="141"/>
    </row>
    <row r="8456" spans="50:50" x14ac:dyDescent="0.25">
      <c r="AX8456" s="141"/>
    </row>
    <row r="8457" spans="50:50" x14ac:dyDescent="0.25">
      <c r="AX8457" s="141"/>
    </row>
    <row r="8458" spans="50:50" x14ac:dyDescent="0.25">
      <c r="AX8458" s="141"/>
    </row>
    <row r="8465" spans="50:53" x14ac:dyDescent="0.25">
      <c r="BA8465" s="141"/>
    </row>
    <row r="8476" spans="50:53" x14ac:dyDescent="0.25">
      <c r="AX8476" s="141"/>
    </row>
    <row r="8477" spans="50:53" x14ac:dyDescent="0.25">
      <c r="AX8477" s="141"/>
    </row>
    <row r="8478" spans="50:53" x14ac:dyDescent="0.25">
      <c r="AX8478" s="141"/>
    </row>
    <row r="8479" spans="50:53" x14ac:dyDescent="0.25">
      <c r="AX8479" s="141"/>
    </row>
    <row r="8480" spans="50:53" x14ac:dyDescent="0.25">
      <c r="AX8480" s="141"/>
    </row>
    <row r="8481" spans="50:50" x14ac:dyDescent="0.25">
      <c r="AX8481" s="141"/>
    </row>
    <row r="8534" spans="53:53" x14ac:dyDescent="0.25">
      <c r="BA8534" s="141"/>
    </row>
    <row r="8539" spans="53:53" x14ac:dyDescent="0.25">
      <c r="BA8539" s="141"/>
    </row>
    <row r="8548" spans="50:50" x14ac:dyDescent="0.25">
      <c r="AX8548" s="141"/>
    </row>
    <row r="8549" spans="50:50" x14ac:dyDescent="0.25">
      <c r="AX8549" s="141"/>
    </row>
    <row r="8550" spans="50:50" x14ac:dyDescent="0.25">
      <c r="AX8550" s="141"/>
    </row>
    <row r="8551" spans="50:50" x14ac:dyDescent="0.25">
      <c r="AX8551" s="141"/>
    </row>
    <row r="8552" spans="50:50" x14ac:dyDescent="0.25">
      <c r="AX8552" s="141"/>
    </row>
    <row r="8553" spans="50:50" x14ac:dyDescent="0.25">
      <c r="AX8553" s="141"/>
    </row>
    <row r="8554" spans="50:50" x14ac:dyDescent="0.25">
      <c r="AX8554" s="141"/>
    </row>
    <row r="8572" spans="50:50" x14ac:dyDescent="0.25">
      <c r="AX8572" s="141"/>
    </row>
    <row r="8573" spans="50:50" x14ac:dyDescent="0.25">
      <c r="AX8573" s="141"/>
    </row>
    <row r="8574" spans="50:50" x14ac:dyDescent="0.25">
      <c r="AX8574" s="141"/>
    </row>
    <row r="8575" spans="50:50" x14ac:dyDescent="0.25">
      <c r="AX8575" s="141"/>
    </row>
    <row r="8576" spans="50:50" x14ac:dyDescent="0.25">
      <c r="AX8576" s="141"/>
    </row>
    <row r="8577" spans="50:53" x14ac:dyDescent="0.25">
      <c r="AX8577" s="141"/>
    </row>
    <row r="8578" spans="50:53" x14ac:dyDescent="0.25">
      <c r="AX8578" s="141"/>
    </row>
    <row r="8586" spans="50:53" x14ac:dyDescent="0.25">
      <c r="BA8586" s="141"/>
    </row>
    <row r="8596" spans="50:50" x14ac:dyDescent="0.25">
      <c r="AX8596" s="141"/>
    </row>
    <row r="8597" spans="50:50" x14ac:dyDescent="0.25">
      <c r="AX8597" s="141"/>
    </row>
    <row r="8598" spans="50:50" x14ac:dyDescent="0.25">
      <c r="AX8598" s="141"/>
    </row>
    <row r="8599" spans="50:50" x14ac:dyDescent="0.25">
      <c r="AX8599" s="141"/>
    </row>
    <row r="8600" spans="50:50" x14ac:dyDescent="0.25">
      <c r="AX8600" s="141"/>
    </row>
    <row r="8601" spans="50:50" x14ac:dyDescent="0.25">
      <c r="AX8601" s="141"/>
    </row>
    <row r="8602" spans="50:50" x14ac:dyDescent="0.25">
      <c r="AX8602" s="141"/>
    </row>
    <row r="8620" spans="50:50" x14ac:dyDescent="0.25">
      <c r="AX8620" s="141"/>
    </row>
    <row r="8621" spans="50:50" x14ac:dyDescent="0.25">
      <c r="AX8621" s="141"/>
    </row>
    <row r="8622" spans="50:50" x14ac:dyDescent="0.25">
      <c r="AX8622" s="141"/>
    </row>
    <row r="8623" spans="50:50" x14ac:dyDescent="0.25">
      <c r="AX8623" s="141"/>
    </row>
    <row r="8624" spans="50:50" x14ac:dyDescent="0.25">
      <c r="AX8624" s="141"/>
    </row>
    <row r="8625" spans="50:50" x14ac:dyDescent="0.25">
      <c r="AX8625" s="141"/>
    </row>
    <row r="8626" spans="50:50" x14ac:dyDescent="0.25">
      <c r="AX8626" s="141"/>
    </row>
    <row r="8644" spans="50:50" x14ac:dyDescent="0.25">
      <c r="AX8644" s="141"/>
    </row>
    <row r="8645" spans="50:50" x14ac:dyDescent="0.25">
      <c r="AX8645" s="141"/>
    </row>
    <row r="8646" spans="50:50" x14ac:dyDescent="0.25">
      <c r="AX8646" s="141"/>
    </row>
    <row r="8647" spans="50:50" x14ac:dyDescent="0.25">
      <c r="AX8647" s="141"/>
    </row>
    <row r="8648" spans="50:50" x14ac:dyDescent="0.25">
      <c r="AX8648" s="141"/>
    </row>
    <row r="8649" spans="50:50" x14ac:dyDescent="0.25">
      <c r="AX8649" s="141"/>
    </row>
    <row r="8650" spans="50:50" x14ac:dyDescent="0.25">
      <c r="AX8650" s="141"/>
    </row>
    <row r="8680" spans="53:53" x14ac:dyDescent="0.25">
      <c r="BA8680" s="141"/>
    </row>
    <row r="8688" spans="53:53" x14ac:dyDescent="0.25">
      <c r="BA8688" s="141"/>
    </row>
    <row r="8701" spans="53:53" x14ac:dyDescent="0.25">
      <c r="BA8701" s="141"/>
    </row>
    <row r="8705" spans="53:53" x14ac:dyDescent="0.25">
      <c r="BA8705" s="141"/>
    </row>
    <row r="8706" spans="53:53" x14ac:dyDescent="0.25">
      <c r="BA8706" s="141"/>
    </row>
    <row r="8724" spans="53:53" x14ac:dyDescent="0.25">
      <c r="BA8724" s="141"/>
    </row>
    <row r="8773" spans="53:53" x14ac:dyDescent="0.25">
      <c r="BA8773" s="141"/>
    </row>
    <row r="8774" spans="53:53" x14ac:dyDescent="0.25">
      <c r="BA8774" s="1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5BD9-5793-4E3C-8BD8-F716FDB045DA}">
  <dimension ref="B2:J96"/>
  <sheetViews>
    <sheetView topLeftCell="A65" workbookViewId="0">
      <selection activeCell="F68" sqref="F68"/>
    </sheetView>
  </sheetViews>
  <sheetFormatPr defaultRowHeight="15" x14ac:dyDescent="0.25"/>
  <cols>
    <col min="1" max="1" width="5.28515625" customWidth="1"/>
    <col min="2" max="2" width="20.28515625" customWidth="1"/>
    <col min="3" max="4" width="13" customWidth="1"/>
    <col min="5" max="5" width="13.28515625" customWidth="1"/>
    <col min="6" max="9" width="14.85546875" customWidth="1"/>
    <col min="10" max="10" width="7.28515625" customWidth="1"/>
  </cols>
  <sheetData>
    <row r="2" spans="2:10" ht="15.75" thickBot="1" x14ac:dyDescent="0.3"/>
    <row r="3" spans="2:10" x14ac:dyDescent="0.25">
      <c r="B3" s="94" t="s">
        <v>88</v>
      </c>
      <c r="C3" s="95"/>
      <c r="D3" s="95"/>
      <c r="E3" s="96"/>
      <c r="F3" s="96"/>
      <c r="G3" s="96"/>
      <c r="H3" s="96"/>
      <c r="I3" s="96"/>
      <c r="J3" s="97"/>
    </row>
    <row r="4" spans="2:10" ht="15.75" x14ac:dyDescent="0.25">
      <c r="B4" s="181"/>
      <c r="C4" s="182"/>
      <c r="D4" s="183"/>
      <c r="E4" s="178" t="s">
        <v>84</v>
      </c>
      <c r="F4" s="179"/>
      <c r="G4" s="179"/>
      <c r="H4" s="179"/>
      <c r="I4" s="180"/>
      <c r="J4" s="98"/>
    </row>
    <row r="5" spans="2:10" ht="15.75" x14ac:dyDescent="0.25">
      <c r="B5" s="184"/>
      <c r="C5" s="185"/>
      <c r="D5" s="186"/>
      <c r="E5" s="72">
        <v>3</v>
      </c>
      <c r="F5" s="72">
        <v>2.5</v>
      </c>
      <c r="G5" s="72">
        <v>2</v>
      </c>
      <c r="H5" s="72">
        <v>1.5</v>
      </c>
      <c r="I5" s="72">
        <v>1</v>
      </c>
      <c r="J5" s="98"/>
    </row>
    <row r="6" spans="2:10" ht="15.75" x14ac:dyDescent="0.25">
      <c r="B6" s="172" t="s">
        <v>85</v>
      </c>
      <c r="C6" s="173"/>
      <c r="D6" s="174"/>
      <c r="E6" s="73">
        <v>1.9986893840104849</v>
      </c>
      <c r="F6" s="73">
        <v>2.1812025891105056</v>
      </c>
      <c r="G6" s="73">
        <v>2.2990492653414001</v>
      </c>
      <c r="H6" s="73">
        <v>2.2676708353485804</v>
      </c>
      <c r="I6" s="73">
        <v>2.5131761442441056</v>
      </c>
      <c r="J6" s="98"/>
    </row>
    <row r="7" spans="2:10" ht="15.75" x14ac:dyDescent="0.25">
      <c r="B7" s="172" t="s">
        <v>86</v>
      </c>
      <c r="C7" s="173"/>
      <c r="D7" s="174"/>
      <c r="E7" s="74">
        <v>101.66666666666667</v>
      </c>
      <c r="F7" s="74">
        <v>93.090999999999994</v>
      </c>
      <c r="G7" s="74">
        <v>88.666666666666671</v>
      </c>
      <c r="H7" s="74">
        <v>78.142857142857139</v>
      </c>
      <c r="I7" s="74">
        <v>75.5</v>
      </c>
      <c r="J7" s="98"/>
    </row>
    <row r="8" spans="2:10" x14ac:dyDescent="0.25">
      <c r="B8" s="99"/>
      <c r="C8" s="100"/>
      <c r="D8" s="100"/>
      <c r="E8" s="101"/>
      <c r="F8" s="101"/>
      <c r="G8" s="101"/>
      <c r="H8" s="101"/>
      <c r="I8" s="101"/>
      <c r="J8" s="102"/>
    </row>
    <row r="9" spans="2:10" ht="15.75" x14ac:dyDescent="0.25">
      <c r="B9" s="99" t="s">
        <v>89</v>
      </c>
      <c r="C9" s="100"/>
      <c r="D9" s="100"/>
      <c r="E9" s="101"/>
      <c r="F9" s="101"/>
      <c r="G9" s="103"/>
      <c r="H9" s="103"/>
      <c r="I9" s="103"/>
      <c r="J9" s="98"/>
    </row>
    <row r="10" spans="2:10" x14ac:dyDescent="0.25">
      <c r="B10" s="187"/>
      <c r="C10" s="188"/>
      <c r="D10" s="189"/>
      <c r="E10" s="178" t="s">
        <v>90</v>
      </c>
      <c r="F10" s="179"/>
      <c r="G10" s="179"/>
      <c r="H10" s="179"/>
      <c r="I10" s="180"/>
      <c r="J10" s="104"/>
    </row>
    <row r="11" spans="2:10" x14ac:dyDescent="0.25">
      <c r="B11" s="190"/>
      <c r="C11" s="191"/>
      <c r="D11" s="192"/>
      <c r="E11" s="75" t="s">
        <v>91</v>
      </c>
      <c r="F11" s="75" t="s">
        <v>92</v>
      </c>
      <c r="G11" s="75" t="s">
        <v>93</v>
      </c>
      <c r="H11" s="75" t="s">
        <v>94</v>
      </c>
      <c r="I11" s="75" t="s">
        <v>95</v>
      </c>
      <c r="J11" s="104"/>
    </row>
    <row r="12" spans="2:10" x14ac:dyDescent="0.25">
      <c r="B12" s="105"/>
      <c r="C12" s="79"/>
      <c r="D12" s="80"/>
      <c r="E12" s="75">
        <v>3</v>
      </c>
      <c r="F12" s="75">
        <v>2.5</v>
      </c>
      <c r="G12" s="75">
        <v>2</v>
      </c>
      <c r="H12" s="75">
        <v>1.5</v>
      </c>
      <c r="I12" s="75">
        <v>1</v>
      </c>
      <c r="J12" s="104"/>
    </row>
    <row r="13" spans="2:10" x14ac:dyDescent="0.25">
      <c r="B13" s="172" t="s">
        <v>96</v>
      </c>
      <c r="C13" s="173"/>
      <c r="D13" s="174"/>
      <c r="E13" s="76">
        <v>7.1</v>
      </c>
      <c r="F13" s="76">
        <v>7.4</v>
      </c>
      <c r="G13" s="76">
        <v>9.3000000000000007</v>
      </c>
      <c r="H13" s="76">
        <v>8.9</v>
      </c>
      <c r="I13" s="76">
        <v>8.6999999999999993</v>
      </c>
      <c r="J13" s="104"/>
    </row>
    <row r="14" spans="2:10" x14ac:dyDescent="0.25">
      <c r="B14" s="172" t="s">
        <v>97</v>
      </c>
      <c r="C14" s="173"/>
      <c r="D14" s="174"/>
      <c r="E14" s="77">
        <v>102</v>
      </c>
      <c r="F14" s="77">
        <v>90</v>
      </c>
      <c r="G14" s="77">
        <v>89.714285714285708</v>
      </c>
      <c r="H14" s="77">
        <v>78</v>
      </c>
      <c r="I14" s="77">
        <v>70</v>
      </c>
      <c r="J14" s="104"/>
    </row>
    <row r="15" spans="2:10" x14ac:dyDescent="0.25">
      <c r="B15" s="172" t="s">
        <v>98</v>
      </c>
      <c r="C15" s="173"/>
      <c r="D15" s="174"/>
      <c r="E15" s="77">
        <v>6.0714285714285712</v>
      </c>
      <c r="F15" s="77">
        <v>5.9565217391304346</v>
      </c>
      <c r="G15" s="77">
        <v>6.4985881403791845</v>
      </c>
      <c r="H15" s="77">
        <v>6.709072648141948</v>
      </c>
      <c r="I15" s="77">
        <v>6.7787114845938374</v>
      </c>
      <c r="J15" s="104"/>
    </row>
    <row r="16" spans="2:10" ht="15.75" thickBot="1" x14ac:dyDescent="0.3">
      <c r="B16" s="175" t="s">
        <v>99</v>
      </c>
      <c r="C16" s="176"/>
      <c r="D16" s="177"/>
      <c r="E16" s="106">
        <v>51</v>
      </c>
      <c r="F16" s="106">
        <v>45.666666666666664</v>
      </c>
      <c r="G16" s="106">
        <v>44.75</v>
      </c>
      <c r="H16" s="106">
        <v>41.75</v>
      </c>
      <c r="I16" s="106">
        <v>40.333333333333336</v>
      </c>
      <c r="J16" s="107"/>
    </row>
    <row r="17" spans="2:5" x14ac:dyDescent="0.25">
      <c r="B17" s="78" t="s">
        <v>100</v>
      </c>
      <c r="C17" s="78"/>
      <c r="D17" s="78"/>
    </row>
    <row r="19" spans="2:5" x14ac:dyDescent="0.25">
      <c r="B19" t="s">
        <v>106</v>
      </c>
    </row>
    <row r="20" spans="2:5" x14ac:dyDescent="0.25">
      <c r="B20" s="82" t="s">
        <v>75</v>
      </c>
      <c r="C20" s="83"/>
    </row>
    <row r="21" spans="2:5" x14ac:dyDescent="0.25">
      <c r="B21" s="84" t="s">
        <v>102</v>
      </c>
      <c r="C21" s="85"/>
    </row>
    <row r="22" spans="2:5" x14ac:dyDescent="0.25">
      <c r="B22" s="86" t="s">
        <v>105</v>
      </c>
      <c r="C22" s="87"/>
    </row>
    <row r="24" spans="2:5" ht="15.75" thickBot="1" x14ac:dyDescent="0.3"/>
    <row r="25" spans="2:5" x14ac:dyDescent="0.25">
      <c r="B25" s="88" t="s">
        <v>173</v>
      </c>
      <c r="C25" s="89"/>
      <c r="D25" s="90"/>
    </row>
    <row r="26" spans="2:5" x14ac:dyDescent="0.25">
      <c r="B26" s="11" t="s">
        <v>107</v>
      </c>
      <c r="C26">
        <f>'Pool Energy Use Calculator'!C43</f>
        <v>2</v>
      </c>
      <c r="D26" s="91"/>
    </row>
    <row r="27" spans="2:5" x14ac:dyDescent="0.25">
      <c r="B27" s="11" t="s">
        <v>81</v>
      </c>
      <c r="C27" s="61" t="str">
        <f>'Pool Energy Use Calculator'!C45</f>
        <v>No</v>
      </c>
      <c r="D27" s="91"/>
    </row>
    <row r="28" spans="2:5" x14ac:dyDescent="0.25">
      <c r="B28" s="11" t="s">
        <v>101</v>
      </c>
      <c r="C28" s="61" t="str">
        <f>IF('Pool Energy Use Calculator'!C47=B20,IF(C27="no","single-speed","variable-speed"),'Pool Energy Use Calculator'!C47)</f>
        <v>single-speed</v>
      </c>
      <c r="D28" s="91"/>
    </row>
    <row r="29" spans="2:5" ht="15.75" thickBot="1" x14ac:dyDescent="0.3">
      <c r="B29" s="71" t="s">
        <v>174</v>
      </c>
      <c r="C29" s="92">
        <f>IF(C28=B21,HLOOKUP(C26,E5:I6,2,FALSE),IF(C28=B22,HLOOKUP(C26,E12:I13,2,FALSE)))</f>
        <v>2.2990492653414001</v>
      </c>
      <c r="D29" s="93" t="s">
        <v>104</v>
      </c>
    </row>
    <row r="30" spans="2:5" ht="15.75" thickBot="1" x14ac:dyDescent="0.3"/>
    <row r="31" spans="2:5" x14ac:dyDescent="0.25">
      <c r="B31" s="88" t="s">
        <v>171</v>
      </c>
      <c r="C31" s="89"/>
      <c r="D31" s="89"/>
      <c r="E31" s="90"/>
    </row>
    <row r="32" spans="2:5" x14ac:dyDescent="0.25">
      <c r="B32" s="11" t="s">
        <v>165</v>
      </c>
      <c r="C32">
        <f>'Pool Energy Use Calculator'!C19</f>
        <v>12</v>
      </c>
      <c r="E32" s="91"/>
    </row>
    <row r="33" spans="2:5" x14ac:dyDescent="0.25">
      <c r="B33" s="11" t="s">
        <v>170</v>
      </c>
      <c r="C33">
        <f>VLOOKUP(E33,B45:E95,3,FALSE)</f>
        <v>12</v>
      </c>
      <c r="D33" t="s">
        <v>169</v>
      </c>
      <c r="E33" s="91" t="str">
        <f>'Pool Energy Use Calculator'!C9</f>
        <v>California</v>
      </c>
    </row>
    <row r="34" spans="2:5" x14ac:dyDescent="0.25">
      <c r="B34" s="11" t="s">
        <v>172</v>
      </c>
      <c r="C34">
        <f>IF('Pool Energy Use Calculator'!C19="not sure (use default)",C33,'Pool Energy Use Calculator'!C19)</f>
        <v>12</v>
      </c>
      <c r="E34" s="91"/>
    </row>
    <row r="35" spans="2:5" ht="15.75" thickBot="1" x14ac:dyDescent="0.3">
      <c r="B35" s="71"/>
      <c r="C35" s="117"/>
      <c r="D35" s="117"/>
      <c r="E35" s="93"/>
    </row>
    <row r="36" spans="2:5" ht="15.75" thickBot="1" x14ac:dyDescent="0.3"/>
    <row r="37" spans="2:5" x14ac:dyDescent="0.25">
      <c r="B37" s="88" t="s">
        <v>175</v>
      </c>
      <c r="C37" s="89"/>
      <c r="D37" s="89"/>
      <c r="E37" s="90"/>
    </row>
    <row r="38" spans="2:5" x14ac:dyDescent="0.25">
      <c r="B38" s="11" t="s">
        <v>165</v>
      </c>
      <c r="C38">
        <f>'Pool Energy Use Calculator'!C49</f>
        <v>2</v>
      </c>
      <c r="E38" s="91"/>
    </row>
    <row r="39" spans="2:5" x14ac:dyDescent="0.25">
      <c r="B39" s="11" t="s">
        <v>176</v>
      </c>
      <c r="C39" s="61">
        <f>VLOOKUP(E33,B45:E95,4,FALSE)</f>
        <v>1</v>
      </c>
      <c r="D39" t="s">
        <v>169</v>
      </c>
      <c r="E39" s="91" t="str">
        <f>'Pool Energy Use Calculator'!C9</f>
        <v>California</v>
      </c>
    </row>
    <row r="40" spans="2:5" x14ac:dyDescent="0.25">
      <c r="B40" s="11" t="s">
        <v>177</v>
      </c>
      <c r="C40" s="61">
        <f>IF('Pool Energy Use Calculator'!C49="not sure (use default)",C39,'Pool Energy Use Calculator'!C49)</f>
        <v>2</v>
      </c>
      <c r="E40" s="91"/>
    </row>
    <row r="41" spans="2:5" ht="15.75" thickBot="1" x14ac:dyDescent="0.3">
      <c r="B41" s="71"/>
      <c r="C41" s="92"/>
      <c r="D41" s="117"/>
      <c r="E41" s="93"/>
    </row>
    <row r="43" spans="2:5" ht="15.75" thickBot="1" x14ac:dyDescent="0.3"/>
    <row r="44" spans="2:5" ht="27" customHeight="1" x14ac:dyDescent="0.25">
      <c r="B44" s="114" t="s">
        <v>161</v>
      </c>
      <c r="C44" s="115" t="s">
        <v>162</v>
      </c>
      <c r="D44" s="115" t="s">
        <v>163</v>
      </c>
      <c r="E44" s="116" t="s">
        <v>164</v>
      </c>
    </row>
    <row r="45" spans="2:5" x14ac:dyDescent="0.25">
      <c r="B45" s="108" t="s">
        <v>108</v>
      </c>
      <c r="C45" s="109" t="s">
        <v>159</v>
      </c>
      <c r="D45" s="109">
        <v>12</v>
      </c>
      <c r="E45" s="112">
        <f>IF(C45="warm",1,2)</f>
        <v>1</v>
      </c>
    </row>
    <row r="46" spans="2:5" x14ac:dyDescent="0.25">
      <c r="B46" s="108" t="s">
        <v>109</v>
      </c>
      <c r="C46" s="109" t="s">
        <v>160</v>
      </c>
      <c r="D46" s="109">
        <v>5</v>
      </c>
      <c r="E46" s="112">
        <f t="shared" ref="E46:E95" si="0">IF(C46="warm",1,2)</f>
        <v>2</v>
      </c>
    </row>
    <row r="47" spans="2:5" x14ac:dyDescent="0.25">
      <c r="B47" s="108" t="s">
        <v>110</v>
      </c>
      <c r="C47" s="109" t="s">
        <v>159</v>
      </c>
      <c r="D47" s="109">
        <v>12</v>
      </c>
      <c r="E47" s="112">
        <f t="shared" si="0"/>
        <v>1</v>
      </c>
    </row>
    <row r="48" spans="2:5" x14ac:dyDescent="0.25">
      <c r="B48" s="108" t="s">
        <v>111</v>
      </c>
      <c r="C48" s="109" t="s">
        <v>159</v>
      </c>
      <c r="D48" s="109">
        <v>12</v>
      </c>
      <c r="E48" s="112">
        <f t="shared" si="0"/>
        <v>1</v>
      </c>
    </row>
    <row r="49" spans="2:5" x14ac:dyDescent="0.25">
      <c r="B49" s="108" t="s">
        <v>112</v>
      </c>
      <c r="C49" s="109" t="s">
        <v>159</v>
      </c>
      <c r="D49" s="109">
        <v>12</v>
      </c>
      <c r="E49" s="112">
        <f t="shared" si="0"/>
        <v>1</v>
      </c>
    </row>
    <row r="50" spans="2:5" x14ac:dyDescent="0.25">
      <c r="B50" s="108" t="s">
        <v>113</v>
      </c>
      <c r="C50" s="109" t="s">
        <v>159</v>
      </c>
      <c r="D50" s="109">
        <v>4</v>
      </c>
      <c r="E50" s="112">
        <f t="shared" si="0"/>
        <v>1</v>
      </c>
    </row>
    <row r="51" spans="2:5" x14ac:dyDescent="0.25">
      <c r="B51" s="108" t="s">
        <v>114</v>
      </c>
      <c r="C51" s="109" t="s">
        <v>160</v>
      </c>
      <c r="D51" s="109">
        <v>4</v>
      </c>
      <c r="E51" s="112">
        <f t="shared" si="0"/>
        <v>2</v>
      </c>
    </row>
    <row r="52" spans="2:5" x14ac:dyDescent="0.25">
      <c r="B52" s="108" t="s">
        <v>115</v>
      </c>
      <c r="C52" s="109" t="s">
        <v>160</v>
      </c>
      <c r="D52" s="109">
        <v>5</v>
      </c>
      <c r="E52" s="112">
        <f t="shared" si="0"/>
        <v>2</v>
      </c>
    </row>
    <row r="53" spans="2:5" x14ac:dyDescent="0.25">
      <c r="B53" s="108" t="s">
        <v>116</v>
      </c>
      <c r="C53" s="109" t="s">
        <v>160</v>
      </c>
      <c r="D53" s="109">
        <v>5</v>
      </c>
      <c r="E53" s="112">
        <f t="shared" si="0"/>
        <v>2</v>
      </c>
    </row>
    <row r="54" spans="2:5" x14ac:dyDescent="0.25">
      <c r="B54" s="108" t="s">
        <v>117</v>
      </c>
      <c r="C54" s="109" t="s">
        <v>159</v>
      </c>
      <c r="D54" s="109">
        <v>12</v>
      </c>
      <c r="E54" s="112">
        <f t="shared" si="0"/>
        <v>1</v>
      </c>
    </row>
    <row r="55" spans="2:5" x14ac:dyDescent="0.25">
      <c r="B55" s="108" t="s">
        <v>118</v>
      </c>
      <c r="C55" s="109" t="s">
        <v>159</v>
      </c>
      <c r="D55" s="109">
        <v>7</v>
      </c>
      <c r="E55" s="112">
        <f t="shared" si="0"/>
        <v>1</v>
      </c>
    </row>
    <row r="56" spans="2:5" x14ac:dyDescent="0.25">
      <c r="B56" s="108" t="s">
        <v>119</v>
      </c>
      <c r="C56" s="109" t="s">
        <v>159</v>
      </c>
      <c r="D56" s="109">
        <v>12</v>
      </c>
      <c r="E56" s="112">
        <f t="shared" si="0"/>
        <v>1</v>
      </c>
    </row>
    <row r="57" spans="2:5" x14ac:dyDescent="0.25">
      <c r="B57" s="108" t="s">
        <v>120</v>
      </c>
      <c r="C57" s="109" t="s">
        <v>160</v>
      </c>
      <c r="D57" s="109">
        <v>4</v>
      </c>
      <c r="E57" s="112">
        <f t="shared" si="0"/>
        <v>2</v>
      </c>
    </row>
    <row r="58" spans="2:5" x14ac:dyDescent="0.25">
      <c r="B58" s="108" t="s">
        <v>121</v>
      </c>
      <c r="C58" s="109" t="s">
        <v>160</v>
      </c>
      <c r="D58" s="109">
        <v>4</v>
      </c>
      <c r="E58" s="112">
        <f t="shared" si="0"/>
        <v>2</v>
      </c>
    </row>
    <row r="59" spans="2:5" x14ac:dyDescent="0.25">
      <c r="B59" s="108" t="s">
        <v>122</v>
      </c>
      <c r="C59" s="109" t="s">
        <v>160</v>
      </c>
      <c r="D59" s="109">
        <v>4</v>
      </c>
      <c r="E59" s="112">
        <f t="shared" si="0"/>
        <v>2</v>
      </c>
    </row>
    <row r="60" spans="2:5" x14ac:dyDescent="0.25">
      <c r="B60" s="108" t="s">
        <v>123</v>
      </c>
      <c r="C60" s="109" t="s">
        <v>160</v>
      </c>
      <c r="D60" s="109">
        <v>4</v>
      </c>
      <c r="E60" s="112">
        <f t="shared" si="0"/>
        <v>2</v>
      </c>
    </row>
    <row r="61" spans="2:5" x14ac:dyDescent="0.25">
      <c r="B61" s="108" t="s">
        <v>124</v>
      </c>
      <c r="C61" s="109" t="s">
        <v>160</v>
      </c>
      <c r="D61" s="109">
        <v>4</v>
      </c>
      <c r="E61" s="112">
        <f t="shared" si="0"/>
        <v>2</v>
      </c>
    </row>
    <row r="62" spans="2:5" x14ac:dyDescent="0.25">
      <c r="B62" s="108" t="s">
        <v>125</v>
      </c>
      <c r="C62" s="109" t="s">
        <v>160</v>
      </c>
      <c r="D62" s="109">
        <v>12</v>
      </c>
      <c r="E62" s="112">
        <f t="shared" si="0"/>
        <v>2</v>
      </c>
    </row>
    <row r="63" spans="2:5" x14ac:dyDescent="0.25">
      <c r="B63" s="108" t="s">
        <v>126</v>
      </c>
      <c r="C63" s="109" t="s">
        <v>159</v>
      </c>
      <c r="D63" s="109">
        <v>12</v>
      </c>
      <c r="E63" s="112">
        <f t="shared" si="0"/>
        <v>1</v>
      </c>
    </row>
    <row r="64" spans="2:5" x14ac:dyDescent="0.25">
      <c r="B64" s="108" t="s">
        <v>127</v>
      </c>
      <c r="C64" s="109" t="s">
        <v>160</v>
      </c>
      <c r="D64" s="109">
        <v>4</v>
      </c>
      <c r="E64" s="112">
        <f t="shared" si="0"/>
        <v>2</v>
      </c>
    </row>
    <row r="65" spans="2:5" x14ac:dyDescent="0.25">
      <c r="B65" s="108" t="s">
        <v>128</v>
      </c>
      <c r="C65" s="109" t="s">
        <v>160</v>
      </c>
      <c r="D65" s="109">
        <v>5</v>
      </c>
      <c r="E65" s="112">
        <f t="shared" si="0"/>
        <v>2</v>
      </c>
    </row>
    <row r="66" spans="2:5" x14ac:dyDescent="0.25">
      <c r="B66" s="108" t="s">
        <v>129</v>
      </c>
      <c r="C66" s="109" t="s">
        <v>160</v>
      </c>
      <c r="D66" s="109">
        <v>4</v>
      </c>
      <c r="E66" s="112">
        <f t="shared" si="0"/>
        <v>2</v>
      </c>
    </row>
    <row r="67" spans="2:5" x14ac:dyDescent="0.25">
      <c r="B67" s="108" t="s">
        <v>130</v>
      </c>
      <c r="C67" s="109" t="s">
        <v>160</v>
      </c>
      <c r="D67" s="109">
        <v>4</v>
      </c>
      <c r="E67" s="112">
        <f t="shared" si="0"/>
        <v>2</v>
      </c>
    </row>
    <row r="68" spans="2:5" x14ac:dyDescent="0.25">
      <c r="B68" s="108" t="s">
        <v>131</v>
      </c>
      <c r="C68" s="109" t="s">
        <v>160</v>
      </c>
      <c r="D68" s="109">
        <v>4</v>
      </c>
      <c r="E68" s="112">
        <f t="shared" si="0"/>
        <v>2</v>
      </c>
    </row>
    <row r="69" spans="2:5" x14ac:dyDescent="0.25">
      <c r="B69" s="108" t="s">
        <v>132</v>
      </c>
      <c r="C69" s="109" t="s">
        <v>159</v>
      </c>
      <c r="D69" s="109">
        <v>12</v>
      </c>
      <c r="E69" s="112">
        <f t="shared" si="0"/>
        <v>1</v>
      </c>
    </row>
    <row r="70" spans="2:5" x14ac:dyDescent="0.25">
      <c r="B70" s="108" t="s">
        <v>133</v>
      </c>
      <c r="C70" s="109" t="s">
        <v>160</v>
      </c>
      <c r="D70" s="109">
        <v>4</v>
      </c>
      <c r="E70" s="112">
        <f t="shared" si="0"/>
        <v>2</v>
      </c>
    </row>
    <row r="71" spans="2:5" x14ac:dyDescent="0.25">
      <c r="B71" s="108" t="s">
        <v>134</v>
      </c>
      <c r="C71" s="109" t="s">
        <v>160</v>
      </c>
      <c r="D71" s="109">
        <v>4</v>
      </c>
      <c r="E71" s="112">
        <f t="shared" si="0"/>
        <v>2</v>
      </c>
    </row>
    <row r="72" spans="2:5" x14ac:dyDescent="0.25">
      <c r="B72" s="108" t="s">
        <v>135</v>
      </c>
      <c r="C72" s="109" t="s">
        <v>160</v>
      </c>
      <c r="D72" s="109">
        <v>4</v>
      </c>
      <c r="E72" s="112">
        <f t="shared" si="0"/>
        <v>2</v>
      </c>
    </row>
    <row r="73" spans="2:5" x14ac:dyDescent="0.25">
      <c r="B73" s="108" t="s">
        <v>136</v>
      </c>
      <c r="C73" s="109" t="s">
        <v>159</v>
      </c>
      <c r="D73" s="109">
        <v>12</v>
      </c>
      <c r="E73" s="112">
        <f t="shared" si="0"/>
        <v>1</v>
      </c>
    </row>
    <row r="74" spans="2:5" x14ac:dyDescent="0.25">
      <c r="B74" s="108" t="s">
        <v>137</v>
      </c>
      <c r="C74" s="109" t="s">
        <v>160</v>
      </c>
      <c r="D74" s="109">
        <v>4</v>
      </c>
      <c r="E74" s="112">
        <f t="shared" si="0"/>
        <v>2</v>
      </c>
    </row>
    <row r="75" spans="2:5" x14ac:dyDescent="0.25">
      <c r="B75" s="108" t="s">
        <v>138</v>
      </c>
      <c r="C75" s="109" t="s">
        <v>160</v>
      </c>
      <c r="D75" s="109">
        <v>4</v>
      </c>
      <c r="E75" s="112">
        <f t="shared" si="0"/>
        <v>2</v>
      </c>
    </row>
    <row r="76" spans="2:5" x14ac:dyDescent="0.25">
      <c r="B76" s="108" t="s">
        <v>139</v>
      </c>
      <c r="C76" s="109" t="s">
        <v>159</v>
      </c>
      <c r="D76" s="109">
        <v>12</v>
      </c>
      <c r="E76" s="112">
        <f t="shared" si="0"/>
        <v>1</v>
      </c>
    </row>
    <row r="77" spans="2:5" x14ac:dyDescent="0.25">
      <c r="B77" s="108" t="s">
        <v>140</v>
      </c>
      <c r="C77" s="109" t="s">
        <v>160</v>
      </c>
      <c r="D77" s="109">
        <v>4</v>
      </c>
      <c r="E77" s="112">
        <f t="shared" si="0"/>
        <v>2</v>
      </c>
    </row>
    <row r="78" spans="2:5" x14ac:dyDescent="0.25">
      <c r="B78" s="108" t="s">
        <v>141</v>
      </c>
      <c r="C78" s="109" t="s">
        <v>159</v>
      </c>
      <c r="D78" s="109">
        <v>7</v>
      </c>
      <c r="E78" s="112">
        <f t="shared" si="0"/>
        <v>1</v>
      </c>
    </row>
    <row r="79" spans="2:5" x14ac:dyDescent="0.25">
      <c r="B79" s="108" t="s">
        <v>142</v>
      </c>
      <c r="C79" s="109" t="s">
        <v>160</v>
      </c>
      <c r="D79" s="109">
        <v>4</v>
      </c>
      <c r="E79" s="112">
        <f t="shared" si="0"/>
        <v>2</v>
      </c>
    </row>
    <row r="80" spans="2:5" x14ac:dyDescent="0.25">
      <c r="B80" s="108" t="s">
        <v>143</v>
      </c>
      <c r="C80" s="109" t="s">
        <v>160</v>
      </c>
      <c r="D80" s="109">
        <v>4</v>
      </c>
      <c r="E80" s="112">
        <f t="shared" si="0"/>
        <v>2</v>
      </c>
    </row>
    <row r="81" spans="2:5" x14ac:dyDescent="0.25">
      <c r="B81" s="108" t="s">
        <v>144</v>
      </c>
      <c r="C81" s="109" t="s">
        <v>159</v>
      </c>
      <c r="D81" s="109">
        <v>12</v>
      </c>
      <c r="E81" s="112">
        <f t="shared" si="0"/>
        <v>1</v>
      </c>
    </row>
    <row r="82" spans="2:5" x14ac:dyDescent="0.25">
      <c r="B82" s="108" t="s">
        <v>145</v>
      </c>
      <c r="C82" s="109" t="s">
        <v>160</v>
      </c>
      <c r="D82" s="109">
        <v>3</v>
      </c>
      <c r="E82" s="112">
        <f t="shared" si="0"/>
        <v>2</v>
      </c>
    </row>
    <row r="83" spans="2:5" x14ac:dyDescent="0.25">
      <c r="B83" s="108" t="s">
        <v>146</v>
      </c>
      <c r="C83" s="109" t="s">
        <v>160</v>
      </c>
      <c r="D83" s="109">
        <v>4</v>
      </c>
      <c r="E83" s="112">
        <f t="shared" si="0"/>
        <v>2</v>
      </c>
    </row>
    <row r="84" spans="2:5" x14ac:dyDescent="0.25">
      <c r="B84" s="108" t="s">
        <v>147</v>
      </c>
      <c r="C84" s="109" t="s">
        <v>160</v>
      </c>
      <c r="D84" s="109">
        <v>4</v>
      </c>
      <c r="E84" s="112">
        <f t="shared" si="0"/>
        <v>2</v>
      </c>
    </row>
    <row r="85" spans="2:5" x14ac:dyDescent="0.25">
      <c r="B85" s="108" t="s">
        <v>148</v>
      </c>
      <c r="C85" s="109" t="s">
        <v>159</v>
      </c>
      <c r="D85" s="109">
        <v>7</v>
      </c>
      <c r="E85" s="112">
        <f t="shared" si="0"/>
        <v>1</v>
      </c>
    </row>
    <row r="86" spans="2:5" x14ac:dyDescent="0.25">
      <c r="B86" s="108" t="s">
        <v>149</v>
      </c>
      <c r="C86" s="109" t="s">
        <v>160</v>
      </c>
      <c r="D86" s="109">
        <v>4</v>
      </c>
      <c r="E86" s="112">
        <f t="shared" si="0"/>
        <v>2</v>
      </c>
    </row>
    <row r="87" spans="2:5" x14ac:dyDescent="0.25">
      <c r="B87" s="108" t="s">
        <v>150</v>
      </c>
      <c r="C87" s="109" t="s">
        <v>159</v>
      </c>
      <c r="D87" s="109">
        <v>12</v>
      </c>
      <c r="E87" s="112">
        <f t="shared" si="0"/>
        <v>1</v>
      </c>
    </row>
    <row r="88" spans="2:5" x14ac:dyDescent="0.25">
      <c r="B88" s="108" t="s">
        <v>151</v>
      </c>
      <c r="C88" s="109" t="s">
        <v>159</v>
      </c>
      <c r="D88" s="109">
        <v>12</v>
      </c>
      <c r="E88" s="112">
        <f t="shared" si="0"/>
        <v>1</v>
      </c>
    </row>
    <row r="89" spans="2:5" x14ac:dyDescent="0.25">
      <c r="B89" s="108" t="s">
        <v>152</v>
      </c>
      <c r="C89" s="109" t="s">
        <v>159</v>
      </c>
      <c r="D89" s="109">
        <v>4</v>
      </c>
      <c r="E89" s="112">
        <f t="shared" si="0"/>
        <v>1</v>
      </c>
    </row>
    <row r="90" spans="2:5" x14ac:dyDescent="0.25">
      <c r="B90" s="108" t="s">
        <v>153</v>
      </c>
      <c r="C90" s="109" t="s">
        <v>160</v>
      </c>
      <c r="D90" s="109">
        <v>4</v>
      </c>
      <c r="E90" s="112">
        <f t="shared" si="0"/>
        <v>2</v>
      </c>
    </row>
    <row r="91" spans="2:5" x14ac:dyDescent="0.25">
      <c r="B91" s="108" t="s">
        <v>154</v>
      </c>
      <c r="C91" s="109" t="s">
        <v>159</v>
      </c>
      <c r="D91" s="109">
        <v>7</v>
      </c>
      <c r="E91" s="112">
        <f t="shared" si="0"/>
        <v>1</v>
      </c>
    </row>
    <row r="92" spans="2:5" x14ac:dyDescent="0.25">
      <c r="B92" s="108" t="s">
        <v>155</v>
      </c>
      <c r="C92" s="109" t="s">
        <v>160</v>
      </c>
      <c r="D92" s="109">
        <v>3</v>
      </c>
      <c r="E92" s="112">
        <f t="shared" si="0"/>
        <v>2</v>
      </c>
    </row>
    <row r="93" spans="2:5" x14ac:dyDescent="0.25">
      <c r="B93" s="108" t="s">
        <v>156</v>
      </c>
      <c r="C93" s="109" t="s">
        <v>160</v>
      </c>
      <c r="D93" s="109">
        <v>5</v>
      </c>
      <c r="E93" s="112">
        <f t="shared" si="0"/>
        <v>2</v>
      </c>
    </row>
    <row r="94" spans="2:5" x14ac:dyDescent="0.25">
      <c r="B94" s="108" t="s">
        <v>157</v>
      </c>
      <c r="C94" s="109" t="s">
        <v>160</v>
      </c>
      <c r="D94" s="109">
        <v>4</v>
      </c>
      <c r="E94" s="112">
        <f t="shared" si="0"/>
        <v>2</v>
      </c>
    </row>
    <row r="95" spans="2:5" ht="15.75" thickBot="1" x14ac:dyDescent="0.3">
      <c r="B95" s="110" t="s">
        <v>158</v>
      </c>
      <c r="C95" s="111" t="s">
        <v>160</v>
      </c>
      <c r="D95" s="111">
        <v>4</v>
      </c>
      <c r="E95" s="113">
        <f t="shared" si="0"/>
        <v>2</v>
      </c>
    </row>
    <row r="96" spans="2:5" x14ac:dyDescent="0.25">
      <c r="B96" s="78" t="s">
        <v>100</v>
      </c>
    </row>
  </sheetData>
  <mergeCells count="10">
    <mergeCell ref="B13:D13"/>
    <mergeCell ref="B14:D14"/>
    <mergeCell ref="B15:D15"/>
    <mergeCell ref="B16:D16"/>
    <mergeCell ref="E4:I4"/>
    <mergeCell ref="E10:I10"/>
    <mergeCell ref="B4:D5"/>
    <mergeCell ref="B10:D11"/>
    <mergeCell ref="B6:D6"/>
    <mergeCell ref="B7:D7"/>
  </mergeCells>
  <dataValidations disablePrompts="1" count="1">
    <dataValidation showDropDown="1" showInputMessage="1" showErrorMessage="1" sqref="C45:C95" xr:uid="{7C95584D-7F21-4EE4-B7CC-36044FAB1764}"/>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B80"/>
  <sheetViews>
    <sheetView zoomScale="85" zoomScaleNormal="85" workbookViewId="0">
      <selection activeCell="C8" sqref="C8"/>
    </sheetView>
  </sheetViews>
  <sheetFormatPr defaultRowHeight="15" x14ac:dyDescent="0.25"/>
  <cols>
    <col min="2" max="2" width="33.7109375" customWidth="1"/>
    <col min="3" max="3" width="23.28515625" customWidth="1"/>
    <col min="4" max="5" width="23.85546875" customWidth="1"/>
    <col min="6" max="11" width="10.7109375" customWidth="1"/>
    <col min="12" max="12" width="4.7109375" customWidth="1"/>
    <col min="13" max="15" width="13.7109375" customWidth="1"/>
    <col min="16" max="16" width="5.85546875" customWidth="1"/>
    <col min="17" max="19" width="14.5703125" customWidth="1"/>
    <col min="20" max="20" width="5.42578125" customWidth="1"/>
    <col min="21" max="23" width="13.7109375" customWidth="1"/>
    <col min="26" max="29" width="15.28515625" customWidth="1"/>
  </cols>
  <sheetData>
    <row r="2" spans="2:9" ht="18.75" x14ac:dyDescent="0.25">
      <c r="B2" s="123" t="s">
        <v>166</v>
      </c>
    </row>
    <row r="3" spans="2:9" x14ac:dyDescent="0.25">
      <c r="B3" s="3"/>
      <c r="F3" s="2"/>
      <c r="G3" s="2"/>
      <c r="H3" s="2"/>
      <c r="I3" s="1"/>
    </row>
    <row r="4" spans="2:9" x14ac:dyDescent="0.25">
      <c r="B4" s="19" t="s">
        <v>167</v>
      </c>
      <c r="C4" s="124">
        <f>IF('Pool Energy Use Calculator'!C28="Gas / Propane",IF(poolcover="yes",M34,M33),IF(poolcover="yes",U34,U33))</f>
        <v>2.8329354842802433E-2</v>
      </c>
      <c r="D4" s="21"/>
      <c r="F4" s="2"/>
      <c r="G4" s="2"/>
      <c r="H4" s="2"/>
      <c r="I4" s="1"/>
    </row>
    <row r="5" spans="2:9" x14ac:dyDescent="0.25">
      <c r="B5" s="22" t="s">
        <v>168</v>
      </c>
      <c r="C5" s="125">
        <f>C4*'Pool Energy Use Calculator'!C13</f>
        <v>0</v>
      </c>
      <c r="D5" s="47"/>
      <c r="F5" s="2"/>
      <c r="G5" s="2"/>
      <c r="H5" s="2"/>
      <c r="I5" s="1"/>
    </row>
    <row r="6" spans="2:9" x14ac:dyDescent="0.25">
      <c r="B6" s="22" t="s">
        <v>79</v>
      </c>
      <c r="C6" s="126">
        <f>Monthsperyear*C5</f>
        <v>0</v>
      </c>
      <c r="D6" s="47"/>
      <c r="F6" s="2"/>
      <c r="G6" s="2"/>
      <c r="H6" s="2"/>
      <c r="I6" s="1"/>
    </row>
    <row r="7" spans="2:9" x14ac:dyDescent="0.25">
      <c r="B7" s="22" t="s">
        <v>80</v>
      </c>
      <c r="C7" s="126">
        <f>C6/heater_efficiency</f>
        <v>0</v>
      </c>
      <c r="D7" s="47"/>
      <c r="F7" s="2"/>
      <c r="G7" s="2"/>
      <c r="H7" s="2"/>
      <c r="I7" s="1"/>
    </row>
    <row r="8" spans="2:9" x14ac:dyDescent="0.25">
      <c r="B8" s="22" t="s">
        <v>187</v>
      </c>
      <c r="C8" s="127">
        <f>C7*293.071</f>
        <v>0</v>
      </c>
      <c r="D8" s="47"/>
      <c r="F8" s="2"/>
      <c r="G8" s="2"/>
      <c r="H8" s="2"/>
      <c r="I8" s="1"/>
    </row>
    <row r="9" spans="2:9" x14ac:dyDescent="0.25">
      <c r="B9" s="128"/>
      <c r="C9" s="129"/>
      <c r="D9" s="48"/>
      <c r="F9" s="2"/>
      <c r="G9" s="2"/>
      <c r="H9" s="2"/>
      <c r="I9" s="1"/>
    </row>
    <row r="10" spans="2:9" x14ac:dyDescent="0.25">
      <c r="F10" s="2"/>
      <c r="G10" s="2"/>
      <c r="H10" s="2"/>
      <c r="I10" s="1"/>
    </row>
    <row r="11" spans="2:9" x14ac:dyDescent="0.25">
      <c r="F11" s="2"/>
      <c r="G11" s="2"/>
      <c r="H11" s="2"/>
      <c r="I11" s="1"/>
    </row>
    <row r="12" spans="2:9" x14ac:dyDescent="0.25">
      <c r="F12" s="2"/>
      <c r="G12" s="2"/>
      <c r="H12" s="2"/>
      <c r="I12" s="1"/>
    </row>
    <row r="13" spans="2:9" x14ac:dyDescent="0.25">
      <c r="F13" s="2"/>
      <c r="G13" s="2"/>
      <c r="H13" s="2"/>
      <c r="I13" s="1"/>
    </row>
    <row r="14" spans="2:9" x14ac:dyDescent="0.25">
      <c r="F14" s="2"/>
      <c r="G14" s="2"/>
      <c r="H14" s="2"/>
      <c r="I14" s="1"/>
    </row>
    <row r="15" spans="2:9" x14ac:dyDescent="0.25">
      <c r="F15" s="2"/>
      <c r="G15" s="2"/>
      <c r="H15" s="2"/>
      <c r="I15" s="1"/>
    </row>
    <row r="16" spans="2:9" x14ac:dyDescent="0.25">
      <c r="F16" s="2"/>
      <c r="G16" s="2"/>
      <c r="H16" s="2"/>
      <c r="I16" s="1"/>
    </row>
    <row r="17" spans="2:23" x14ac:dyDescent="0.25">
      <c r="F17" s="2"/>
      <c r="G17" s="2"/>
      <c r="H17" s="2"/>
      <c r="I17" s="1"/>
    </row>
    <row r="18" spans="2:23" ht="18.75" x14ac:dyDescent="0.3">
      <c r="B18" s="52" t="s">
        <v>74</v>
      </c>
      <c r="F18" s="2"/>
      <c r="G18" s="2"/>
      <c r="H18" s="2"/>
      <c r="I18" s="1"/>
    </row>
    <row r="19" spans="2:23" ht="18.75" x14ac:dyDescent="0.3">
      <c r="B19" s="52"/>
      <c r="M19" s="201" t="s">
        <v>40</v>
      </c>
      <c r="N19" s="202"/>
      <c r="O19" s="203"/>
      <c r="Q19" s="201" t="s">
        <v>41</v>
      </c>
      <c r="R19" s="202"/>
      <c r="S19" s="203"/>
      <c r="U19" s="201" t="s">
        <v>41</v>
      </c>
      <c r="V19" s="202"/>
      <c r="W19" s="203"/>
    </row>
    <row r="20" spans="2:23" x14ac:dyDescent="0.25">
      <c r="B20" s="4"/>
      <c r="C20" s="4"/>
      <c r="D20" s="4"/>
      <c r="E20" s="204" t="s">
        <v>66</v>
      </c>
      <c r="M20" s="198" t="s">
        <v>56</v>
      </c>
      <c r="N20" s="199"/>
      <c r="O20" s="200"/>
      <c r="Q20" s="198" t="s">
        <v>56</v>
      </c>
      <c r="R20" s="199"/>
      <c r="S20" s="200"/>
      <c r="U20" s="198" t="s">
        <v>56</v>
      </c>
      <c r="V20" s="199"/>
      <c r="W20" s="200"/>
    </row>
    <row r="21" spans="2:23" x14ac:dyDescent="0.25">
      <c r="B21" s="193" t="s">
        <v>63</v>
      </c>
      <c r="C21" s="193" t="s">
        <v>29</v>
      </c>
      <c r="D21" s="193" t="s">
        <v>67</v>
      </c>
      <c r="E21" s="205"/>
      <c r="M21" s="207" t="s">
        <v>60</v>
      </c>
      <c r="N21" s="208"/>
      <c r="O21" s="209"/>
      <c r="Q21" s="195" t="s">
        <v>61</v>
      </c>
      <c r="R21" s="196"/>
      <c r="S21" s="197"/>
      <c r="U21" s="195" t="s">
        <v>62</v>
      </c>
      <c r="V21" s="196"/>
      <c r="W21" s="197"/>
    </row>
    <row r="22" spans="2:23" ht="14.45" customHeight="1" x14ac:dyDescent="0.25">
      <c r="B22" s="193"/>
      <c r="C22" s="194"/>
      <c r="D22" s="193"/>
      <c r="E22" s="206"/>
      <c r="M22" s="25" t="s">
        <v>3</v>
      </c>
      <c r="N22" s="25" t="s">
        <v>4</v>
      </c>
      <c r="O22" s="25" t="s">
        <v>5</v>
      </c>
      <c r="Q22" s="25" t="s">
        <v>3</v>
      </c>
      <c r="R22" s="25" t="s">
        <v>4</v>
      </c>
      <c r="S22" s="25" t="s">
        <v>5</v>
      </c>
      <c r="U22" s="25" t="s">
        <v>3</v>
      </c>
      <c r="V22" s="25" t="s">
        <v>4</v>
      </c>
      <c r="W22" s="25" t="s">
        <v>5</v>
      </c>
    </row>
    <row r="23" spans="2:23" x14ac:dyDescent="0.25">
      <c r="B23" s="56" t="s">
        <v>64</v>
      </c>
      <c r="C23" s="57">
        <v>1</v>
      </c>
      <c r="D23" s="58"/>
      <c r="E23" s="57">
        <v>12</v>
      </c>
      <c r="M23" s="59">
        <f>M53</f>
        <v>1.7798171009174309E-2</v>
      </c>
      <c r="N23" s="59">
        <f>N53</f>
        <v>2.3730894678899078E-2</v>
      </c>
      <c r="O23" s="59">
        <f>O53</f>
        <v>2.9996917431192659E-2</v>
      </c>
      <c r="Q23" s="40">
        <f>Q53</f>
        <v>4.7995003843197548</v>
      </c>
      <c r="R23" s="40">
        <f>R53</f>
        <v>6.3702459646425824</v>
      </c>
      <c r="S23" s="40">
        <f>S53</f>
        <v>8.050071099154497</v>
      </c>
      <c r="U23" s="59">
        <f t="shared" ref="U23:U31" si="0">Q23/293.071</f>
        <v>1.6376579000719125E-2</v>
      </c>
      <c r="V23" s="59">
        <f t="shared" ref="V23:V31" si="1">R23/293.071</f>
        <v>2.1736186673681743E-2</v>
      </c>
      <c r="W23" s="59">
        <f t="shared" ref="W23:W31" si="2">S23/293.071</f>
        <v>2.7467989323933437E-2</v>
      </c>
    </row>
    <row r="24" spans="2:23" x14ac:dyDescent="0.25">
      <c r="B24" s="56" t="s">
        <v>64</v>
      </c>
      <c r="C24" s="57">
        <v>2</v>
      </c>
      <c r="D24" s="58"/>
      <c r="E24" s="57">
        <v>8</v>
      </c>
      <c r="M24" s="59">
        <f>M55</f>
        <v>1.72982223853211E-2</v>
      </c>
      <c r="N24" s="59">
        <f>N55</f>
        <v>2.2197718899082567E-2</v>
      </c>
      <c r="O24" s="59">
        <f>O55</f>
        <v>2.7697153761467891E-2</v>
      </c>
      <c r="Q24" s="40">
        <f>Q55</f>
        <v>4.4504458109146814</v>
      </c>
      <c r="R24" s="40">
        <f>R55</f>
        <v>5.72667659492698</v>
      </c>
      <c r="S24" s="40">
        <f>S55</f>
        <v>7.1338028439661807</v>
      </c>
      <c r="U24" s="59">
        <f t="shared" si="0"/>
        <v>1.5185555073394096E-2</v>
      </c>
      <c r="V24" s="59">
        <f t="shared" si="1"/>
        <v>1.9540236307676227E-2</v>
      </c>
      <c r="W24" s="59">
        <f t="shared" si="2"/>
        <v>2.4341551514705243E-2</v>
      </c>
    </row>
    <row r="25" spans="2:23" x14ac:dyDescent="0.25">
      <c r="B25" s="56" t="s">
        <v>64</v>
      </c>
      <c r="C25" s="57" t="s">
        <v>34</v>
      </c>
      <c r="D25" s="58" t="s">
        <v>68</v>
      </c>
      <c r="E25" s="57">
        <v>7</v>
      </c>
      <c r="M25" s="59">
        <f>AVERAGE(M57,M59)</f>
        <v>2.2969068204456093E-2</v>
      </c>
      <c r="N25" s="59">
        <f>AVERAGE(N57,N59)</f>
        <v>2.9768369488859768E-2</v>
      </c>
      <c r="O25" s="59">
        <f>AVERAGE(O57,O59)</f>
        <v>3.8110369384010495E-2</v>
      </c>
      <c r="Q25" s="40">
        <f>AVERAGE(Q57,Q59)</f>
        <v>5.9837926869441098</v>
      </c>
      <c r="R25" s="40">
        <f>AVERAGE(R57,R59)</f>
        <v>7.7789304930273424</v>
      </c>
      <c r="S25" s="40">
        <f>AVERAGE(S57,S59)</f>
        <v>9.9667546941912821</v>
      </c>
      <c r="U25" s="59">
        <f t="shared" si="0"/>
        <v>2.0417553039857608E-2</v>
      </c>
      <c r="V25" s="59">
        <f t="shared" si="1"/>
        <v>2.654281895181489E-2</v>
      </c>
      <c r="W25" s="59">
        <f t="shared" si="2"/>
        <v>3.4007986782012826E-2</v>
      </c>
    </row>
    <row r="26" spans="2:23" x14ac:dyDescent="0.25">
      <c r="B26" s="56" t="s">
        <v>64</v>
      </c>
      <c r="C26" s="57" t="s">
        <v>36</v>
      </c>
      <c r="D26" s="58"/>
      <c r="E26" s="57">
        <v>6</v>
      </c>
      <c r="M26" s="59">
        <f>M59</f>
        <v>2.4340355858453473E-2</v>
      </c>
      <c r="N26" s="59">
        <f>N59</f>
        <v>3.2110985897771956E-2</v>
      </c>
      <c r="O26" s="59">
        <f>O59</f>
        <v>4.1138629619921374E-2</v>
      </c>
      <c r="Q26" s="42">
        <f>Q59</f>
        <v>6.2829823212913141</v>
      </c>
      <c r="R26" s="42">
        <f>R59</f>
        <v>8.3025123531349525</v>
      </c>
      <c r="S26" s="42">
        <f>S59</f>
        <v>10.658630723619195</v>
      </c>
      <c r="U26" s="59">
        <f t="shared" si="0"/>
        <v>2.1438430691850485E-2</v>
      </c>
      <c r="V26" s="59">
        <f t="shared" si="1"/>
        <v>2.8329354842802433E-2</v>
      </c>
      <c r="W26" s="59">
        <f t="shared" si="2"/>
        <v>3.6368766352246368E-2</v>
      </c>
    </row>
    <row r="27" spans="2:23" ht="14.45" customHeight="1" x14ac:dyDescent="0.25">
      <c r="B27" s="56" t="s">
        <v>64</v>
      </c>
      <c r="C27" s="57" t="s">
        <v>47</v>
      </c>
      <c r="D27" s="58" t="s">
        <v>69</v>
      </c>
      <c r="E27" s="57">
        <v>6</v>
      </c>
      <c r="M27" s="59">
        <f>M61</f>
        <v>3.1063474495412847E-2</v>
      </c>
      <c r="N27" s="59">
        <f>N61</f>
        <v>3.9595931009174308E-2</v>
      </c>
      <c r="O27" s="59">
        <f>O61</f>
        <v>4.8395026788990825E-2</v>
      </c>
      <c r="Q27" s="42">
        <f>Q61</f>
        <v>8.2900461183704852</v>
      </c>
      <c r="R27" s="42">
        <f>R61</f>
        <v>10.558900845503459</v>
      </c>
      <c r="S27" s="42">
        <f>S61</f>
        <v>12.958651037663337</v>
      </c>
      <c r="U27" s="59">
        <f t="shared" si="0"/>
        <v>2.8286818273969394E-2</v>
      </c>
      <c r="V27" s="59">
        <f t="shared" si="1"/>
        <v>3.602847380158207E-2</v>
      </c>
      <c r="W27" s="59">
        <f t="shared" si="2"/>
        <v>4.4216763301941631E-2</v>
      </c>
    </row>
    <row r="28" spans="2:23" ht="14.45" customHeight="1" x14ac:dyDescent="0.25">
      <c r="B28" s="56" t="s">
        <v>64</v>
      </c>
      <c r="C28" s="57">
        <v>4</v>
      </c>
      <c r="D28" s="58" t="s">
        <v>70</v>
      </c>
      <c r="E28" s="57">
        <v>6</v>
      </c>
      <c r="M28" s="59">
        <f>AVERAGE(M65,M67,M69)</f>
        <v>3.456089286850153E-2</v>
      </c>
      <c r="N28" s="59">
        <f>AVERAGE(N65,N67,N69)</f>
        <v>4.2911145883792044E-2</v>
      </c>
      <c r="O28" s="59">
        <f>AVERAGE(O65,O67,O69)</f>
        <v>5.1976880929663606E-2</v>
      </c>
      <c r="Q28" s="42">
        <f>AVERAGE(Q65,Q67,Q69)</f>
        <v>9.1423210351012063</v>
      </c>
      <c r="R28" s="42">
        <f>AVERAGE(R65,R67,R69)</f>
        <v>11.358817576223418</v>
      </c>
      <c r="S28" s="42">
        <f>AVERAGE(S65,S67,S69)</f>
        <v>13.726571099154498</v>
      </c>
      <c r="U28" s="59">
        <f t="shared" si="0"/>
        <v>3.1194901696521341E-2</v>
      </c>
      <c r="V28" s="59">
        <f t="shared" si="1"/>
        <v>3.875790363503525E-2</v>
      </c>
      <c r="W28" s="59">
        <f t="shared" si="2"/>
        <v>4.6837015942056692E-2</v>
      </c>
    </row>
    <row r="29" spans="2:23" x14ac:dyDescent="0.25">
      <c r="B29" s="56" t="s">
        <v>64</v>
      </c>
      <c r="C29" s="57">
        <v>5</v>
      </c>
      <c r="D29" s="58" t="s">
        <v>71</v>
      </c>
      <c r="E29" s="57">
        <v>4</v>
      </c>
      <c r="M29" s="59">
        <f>AVERAGE(M71,M73,M75)</f>
        <v>3.9710919192660558E-2</v>
      </c>
      <c r="N29" s="59">
        <f>AVERAGE(N71,N73,N75)</f>
        <v>4.894163728440367E-2</v>
      </c>
      <c r="O29" s="59">
        <f>AVERAGE(O71,O73,O75)</f>
        <v>5.8583979743119262E-2</v>
      </c>
      <c r="Q29" s="42">
        <f>AVERAGE(Q71,Q73,Q75)</f>
        <v>10.462910837817065</v>
      </c>
      <c r="R29" s="42">
        <f>AVERAGE(R71,R73,R75)</f>
        <v>12.906292851652575</v>
      </c>
      <c r="S29" s="42">
        <f>AVERAGE(S71,S73,S75)</f>
        <v>15.450028055342045</v>
      </c>
      <c r="U29" s="59">
        <f t="shared" si="0"/>
        <v>3.5700942221567687E-2</v>
      </c>
      <c r="V29" s="59">
        <f t="shared" si="1"/>
        <v>4.4038109712842874E-2</v>
      </c>
      <c r="W29" s="59">
        <f t="shared" si="2"/>
        <v>5.2717696583224012E-2</v>
      </c>
    </row>
    <row r="30" spans="2:23" x14ac:dyDescent="0.25">
      <c r="B30" s="56" t="s">
        <v>64</v>
      </c>
      <c r="C30" s="57">
        <v>6</v>
      </c>
      <c r="D30" s="58" t="s">
        <v>72</v>
      </c>
      <c r="E30" s="57">
        <v>4</v>
      </c>
      <c r="M30" s="59">
        <f>AVERAGE(M29,M31)</f>
        <v>3.6491250055045873E-2</v>
      </c>
      <c r="N30" s="59">
        <f>AVERAGE(N29,N31)</f>
        <v>4.6668537541284402E-2</v>
      </c>
      <c r="O30" s="59">
        <f>AVERAGE(O29,O31)</f>
        <v>5.6489195009174306E-2</v>
      </c>
      <c r="Q30" s="42">
        <f>AVERAGE(Q29,Q31)</f>
        <v>9.5510057647963116</v>
      </c>
      <c r="R30" s="42">
        <f>AVERAGE(R29,R31)</f>
        <v>12.016203689469638</v>
      </c>
      <c r="S30" s="42">
        <f>AVERAGE(S29,S31)</f>
        <v>14.531578209069947</v>
      </c>
      <c r="U30" s="59">
        <f t="shared" si="0"/>
        <v>3.2589392211431055E-2</v>
      </c>
      <c r="V30" s="59">
        <f t="shared" si="1"/>
        <v>4.1000998698164051E-2</v>
      </c>
      <c r="W30" s="59">
        <f t="shared" si="2"/>
        <v>4.958381487445003E-2</v>
      </c>
    </row>
    <row r="31" spans="2:23" x14ac:dyDescent="0.25">
      <c r="B31" s="56" t="s">
        <v>64</v>
      </c>
      <c r="C31" s="57">
        <v>7</v>
      </c>
      <c r="D31" s="58"/>
      <c r="E31" s="57">
        <v>4</v>
      </c>
      <c r="M31" s="59">
        <f>M77</f>
        <v>3.3271580917431189E-2</v>
      </c>
      <c r="N31" s="59">
        <f>N77</f>
        <v>4.4395437798165134E-2</v>
      </c>
      <c r="O31" s="59">
        <f>O77</f>
        <v>5.4394410275229343E-2</v>
      </c>
      <c r="Q31" s="42">
        <f>Q77</f>
        <v>8.6391006917755568</v>
      </c>
      <c r="R31" s="42">
        <f>R77</f>
        <v>11.126114527286703</v>
      </c>
      <c r="S31" s="42">
        <f>S77</f>
        <v>13.613128362797848</v>
      </c>
      <c r="U31" s="59">
        <f t="shared" si="0"/>
        <v>2.9477842201294416E-2</v>
      </c>
      <c r="V31" s="59">
        <f t="shared" si="1"/>
        <v>3.7963887683485235E-2</v>
      </c>
      <c r="W31" s="59">
        <f t="shared" si="2"/>
        <v>4.6449933165676055E-2</v>
      </c>
    </row>
    <row r="32" spans="2:23" x14ac:dyDescent="0.25">
      <c r="K32" s="61"/>
      <c r="M32" s="63">
        <f>LOOKUP('Pool Energy Use Calculator'!$C$11,$C23:$C31,M23:M31)</f>
        <v>2.4340355858453473E-2</v>
      </c>
      <c r="N32" s="63">
        <f>LOOKUP('Pool Energy Use Calculator'!$C$11,$C23:$C31,N23:N31)</f>
        <v>3.2110985897771956E-2</v>
      </c>
      <c r="O32" s="63">
        <f>LOOKUP('Pool Energy Use Calculator'!$C$11,$C23:$C31,O23:O31)</f>
        <v>4.1138629619921374E-2</v>
      </c>
      <c r="Q32" s="63">
        <f>LOOKUP('Pool Energy Use Calculator'!$C$11,$C23:$C31,Q23:Q31)</f>
        <v>6.2829823212913141</v>
      </c>
      <c r="R32" s="63">
        <f>LOOKUP('Pool Energy Use Calculator'!$C$11,$C23:$C31,R23:R31)</f>
        <v>8.3025123531349525</v>
      </c>
      <c r="S32" s="63">
        <f>LOOKUP('Pool Energy Use Calculator'!$C$11,$C23:$C31,S23:S31)</f>
        <v>10.658630723619195</v>
      </c>
      <c r="U32" s="63">
        <f>LOOKUP('Pool Energy Use Calculator'!$C$11,$C23:$C31,U23:U31)</f>
        <v>2.1438430691850485E-2</v>
      </c>
      <c r="V32" s="63">
        <f>LOOKUP('Pool Energy Use Calculator'!$C$11,$C23:$C31,V23:V31)</f>
        <v>2.8329354842802433E-2</v>
      </c>
      <c r="W32" s="63">
        <f>LOOKUP('Pool Energy Use Calculator'!$C$11,$C23:$C31,W23:W31)</f>
        <v>3.6368766352246368E-2</v>
      </c>
    </row>
    <row r="33" spans="2:23" x14ac:dyDescent="0.25">
      <c r="K33" s="61" t="s">
        <v>77</v>
      </c>
      <c r="M33" s="65">
        <f>IF('Pool Energy Use Calculator'!C32="not sure (use default)",M32,IF('Pool Energy Use Calculator'!C32=78,M32,IF('Pool Energy Use Calculator'!C32=80,N32,IF('Pool Energy Use Calculator'!C32=82,O32))))</f>
        <v>3.2110985897771956E-2</v>
      </c>
      <c r="Q33" s="122">
        <f>U33*293.071</f>
        <v>8.3025123531349525</v>
      </c>
      <c r="U33" s="65">
        <f>IF('Pool Energy Use Calculator'!C32="not sure (use default)",U32,IF('Pool Energy Use Calculator'!C32=78,U32,IF('Pool Energy Use Calculator'!C32=80,V32,IF('Pool Energy Use Calculator'!C32=82,W32))))</f>
        <v>2.8329354842802433E-2</v>
      </c>
    </row>
    <row r="34" spans="2:23" x14ac:dyDescent="0.25">
      <c r="K34" s="61" t="s">
        <v>76</v>
      </c>
      <c r="M34" s="65">
        <f>IF('Pool Energy Use Calculator'!C32="not sure (use default)",M35,IF('Pool Energy Use Calculator'!C32=78,M35,IF('Pool Energy Use Calculator'!C32=80,N35,IF('Pool Energy Use Calculator'!C32=82,O35))))</f>
        <v>6.0565204718217563E-3</v>
      </c>
      <c r="U34" s="65">
        <f>IF('Pool Energy Use Calculator'!C32="not sure (use default)",U35,IF('Pool Energy Use Calculator'!C32=78,U35,IF('Pool Energy Use Calculator'!C32=80,V35,IF('Pool Energy Use Calculator'!C32=82,W35))))</f>
        <v>5.231997966463512E-3</v>
      </c>
    </row>
    <row r="35" spans="2:23" x14ac:dyDescent="0.25">
      <c r="E35" s="64">
        <f>LOOKUP('Pool Energy Use Calculator'!$C$11,$C36:$C44,E36:E44)</f>
        <v>6</v>
      </c>
      <c r="F35" t="s">
        <v>78</v>
      </c>
      <c r="K35" s="61"/>
      <c r="M35" s="62">
        <f>LOOKUP('Pool Energy Use Calculator'!$C$11,$C36:$C44,M36:M44)</f>
        <v>4.5709588466579295E-3</v>
      </c>
      <c r="N35" s="62">
        <f>LOOKUP('Pool Energy Use Calculator'!$C$11,$C36:$C44,N36:N44)</f>
        <v>6.0565204718217563E-3</v>
      </c>
      <c r="O35" s="62">
        <f>LOOKUP('Pool Energy Use Calculator'!$C$11,$C36:$C44,O36:O44)</f>
        <v>8.4562738663171693E-3</v>
      </c>
      <c r="Q35" s="62">
        <f>LOOKUP('Pool Energy Use Calculator'!$C$11,$C36:$C44,Q36:Q44)</f>
        <v>1.1593598330954211</v>
      </c>
      <c r="R35" s="62">
        <f>LOOKUP('Pool Energy Use Calculator'!$C$11,$C36:$C44,R36:R44)</f>
        <v>1.533346876029428</v>
      </c>
      <c r="S35" s="62">
        <f>LOOKUP('Pool Energy Use Calculator'!$C$11,$C36:$C44,S36:S44)</f>
        <v>2.1691248490172397</v>
      </c>
      <c r="U35" s="62">
        <f>LOOKUP('Pool Energy Use Calculator'!$C$11,$C36:$C44,U36:U44)</f>
        <v>3.9559009014724115E-3</v>
      </c>
      <c r="V35" s="62">
        <f>LOOKUP('Pool Energy Use Calculator'!$C$11,$C36:$C44,V36:V44)</f>
        <v>5.231997966463512E-3</v>
      </c>
      <c r="W35" s="62">
        <f>LOOKUP('Pool Energy Use Calculator'!$C$11,$C36:$C44,W36:W44)</f>
        <v>7.4013629769483832E-3</v>
      </c>
    </row>
    <row r="36" spans="2:23" x14ac:dyDescent="0.25">
      <c r="B36" s="53" t="s">
        <v>65</v>
      </c>
      <c r="C36" s="54">
        <v>1</v>
      </c>
      <c r="D36" s="55"/>
      <c r="E36" s="54">
        <v>12</v>
      </c>
      <c r="M36" s="59">
        <f>M54</f>
        <v>3.466310458715597E-3</v>
      </c>
      <c r="N36" s="59">
        <f>N54</f>
        <v>4.8661666055045882E-3</v>
      </c>
      <c r="O36" s="59">
        <f>O54</f>
        <v>6.6659816513761462E-3</v>
      </c>
      <c r="Q36" s="40">
        <f>Q54</f>
        <v>0.93808416602613398</v>
      </c>
      <c r="R36" s="40">
        <f>R54</f>
        <v>1.3089546502690239</v>
      </c>
      <c r="S36" s="40">
        <f>S54</f>
        <v>1.7889046887009992</v>
      </c>
      <c r="U36" s="59">
        <f t="shared" ref="U36:U44" si="3">Q36/293.071</f>
        <v>3.200876804686011E-3</v>
      </c>
      <c r="V36" s="59">
        <f t="shared" ref="V36:V44" si="4">R36/293.071</f>
        <v>4.4663397274688514E-3</v>
      </c>
      <c r="W36" s="59">
        <f t="shared" ref="W36:W44" si="5">S36/293.071</f>
        <v>6.1039976275407632E-3</v>
      </c>
    </row>
    <row r="37" spans="2:23" x14ac:dyDescent="0.25">
      <c r="B37" s="53" t="s">
        <v>65</v>
      </c>
      <c r="C37" s="54">
        <v>2</v>
      </c>
      <c r="D37" s="55"/>
      <c r="E37" s="54">
        <v>8</v>
      </c>
      <c r="M37" s="59">
        <f>M56</f>
        <v>1.1998766972477065E-3</v>
      </c>
      <c r="N37" s="59">
        <f>N56</f>
        <v>2.0997842201834864E-3</v>
      </c>
      <c r="O37" s="59">
        <f>O56</f>
        <v>3.1996711926605506E-3</v>
      </c>
      <c r="Q37" s="40">
        <f>Q56</f>
        <v>0.2945147963105304</v>
      </c>
      <c r="R37" s="40">
        <f>R56</f>
        <v>0.55630572636433517</v>
      </c>
      <c r="S37" s="40">
        <f>S56</f>
        <v>0.81809665641814011</v>
      </c>
      <c r="U37" s="59">
        <f t="shared" si="3"/>
        <v>1.0049264386804916E-3</v>
      </c>
      <c r="V37" s="59">
        <f t="shared" si="4"/>
        <v>1.898194384174262E-3</v>
      </c>
      <c r="W37" s="59">
        <f t="shared" si="5"/>
        <v>2.7914623296680327E-3</v>
      </c>
    </row>
    <row r="38" spans="2:23" x14ac:dyDescent="0.25">
      <c r="B38" s="53" t="s">
        <v>65</v>
      </c>
      <c r="C38" s="54" t="s">
        <v>34</v>
      </c>
      <c r="D38" s="55" t="s">
        <v>68</v>
      </c>
      <c r="E38" s="54">
        <v>7</v>
      </c>
      <c r="M38" s="59">
        <f>AVERAGE(M58,M60)</f>
        <v>3.5996300917431195E-3</v>
      </c>
      <c r="N38" s="59">
        <f>AVERAGE(N58,N60)</f>
        <v>5.0280547313237226E-3</v>
      </c>
      <c r="O38" s="59">
        <f>AVERAGE(O58,O60)</f>
        <v>7.1421231979030136E-3</v>
      </c>
      <c r="Q38" s="40">
        <f>AVERAGE(Q58,Q60)</f>
        <v>0.91626825518831678</v>
      </c>
      <c r="R38" s="40">
        <f>AVERAGE(R58,R60)</f>
        <v>1.2902552981223234</v>
      </c>
      <c r="S38" s="40">
        <f>AVERAGE(S58,S60)</f>
        <v>1.8512358625233338</v>
      </c>
      <c r="U38" s="59">
        <f t="shared" si="3"/>
        <v>3.1264378092281963E-3</v>
      </c>
      <c r="V38" s="59">
        <f t="shared" si="4"/>
        <v>4.4025348742192964E-3</v>
      </c>
      <c r="W38" s="59">
        <f t="shared" si="5"/>
        <v>6.3166804717059476E-3</v>
      </c>
    </row>
    <row r="39" spans="2:23" x14ac:dyDescent="0.25">
      <c r="B39" s="53" t="s">
        <v>65</v>
      </c>
      <c r="C39" s="54" t="s">
        <v>36</v>
      </c>
      <c r="D39" s="55"/>
      <c r="E39" s="54">
        <v>6</v>
      </c>
      <c r="M39" s="59">
        <f>M60</f>
        <v>4.5709588466579295E-3</v>
      </c>
      <c r="N39" s="59">
        <f>N60</f>
        <v>6.0565204718217563E-3</v>
      </c>
      <c r="O39" s="59">
        <f>O60</f>
        <v>8.4562738663171693E-3</v>
      </c>
      <c r="Q39" s="40">
        <f>Q60</f>
        <v>1.1593598330954211</v>
      </c>
      <c r="R39" s="40">
        <f>R60</f>
        <v>1.533346876029428</v>
      </c>
      <c r="S39" s="40">
        <f>S60</f>
        <v>2.1691248490172397</v>
      </c>
      <c r="U39" s="59">
        <f t="shared" si="3"/>
        <v>3.9559009014724115E-3</v>
      </c>
      <c r="V39" s="59">
        <f t="shared" si="4"/>
        <v>5.231997966463512E-3</v>
      </c>
      <c r="W39" s="59">
        <f t="shared" si="5"/>
        <v>7.4013629769483832E-3</v>
      </c>
    </row>
    <row r="40" spans="2:23" ht="24" x14ac:dyDescent="0.25">
      <c r="B40" s="53" t="s">
        <v>65</v>
      </c>
      <c r="C40" s="54" t="s">
        <v>47</v>
      </c>
      <c r="D40" s="55" t="s">
        <v>69</v>
      </c>
      <c r="E40" s="54">
        <v>6</v>
      </c>
      <c r="M40" s="59">
        <f>M62</f>
        <v>2.799712293577982E-3</v>
      </c>
      <c r="N40" s="59">
        <f>N62</f>
        <v>5.066146055045872E-3</v>
      </c>
      <c r="O40" s="59">
        <f>O62</f>
        <v>7.8658583486238536E-3</v>
      </c>
      <c r="Q40" s="40">
        <f>Q62</f>
        <v>0.74174096848578019</v>
      </c>
      <c r="R40" s="40">
        <f>R62</f>
        <v>1.3525864719446581</v>
      </c>
      <c r="S40" s="40">
        <f>S62</f>
        <v>2.0943274404304382</v>
      </c>
      <c r="U40" s="59">
        <f t="shared" si="3"/>
        <v>2.5309258455656824E-3</v>
      </c>
      <c r="V40" s="59">
        <f t="shared" si="4"/>
        <v>4.61521771838448E-3</v>
      </c>
      <c r="W40" s="59">
        <f t="shared" si="5"/>
        <v>7.1461435639501624E-3</v>
      </c>
    </row>
    <row r="41" spans="2:23" ht="24" x14ac:dyDescent="0.25">
      <c r="B41" s="53" t="s">
        <v>65</v>
      </c>
      <c r="C41" s="54">
        <v>4</v>
      </c>
      <c r="D41" s="55" t="s">
        <v>70</v>
      </c>
      <c r="E41" s="54">
        <v>6</v>
      </c>
      <c r="M41" s="59">
        <f>AVERAGE(M66,M68,M70)</f>
        <v>6.3637904831804299E-3</v>
      </c>
      <c r="N41" s="59">
        <f>AVERAGE(N66,N68,N70)</f>
        <v>8.9946312415902143E-3</v>
      </c>
      <c r="O41" s="59">
        <f>AVERAGE(O66,O68,O70)</f>
        <v>1.1821007461773699E-2</v>
      </c>
      <c r="Q41" s="40">
        <f>AVERAGE(Q66,Q68,Q70)</f>
        <v>1.660918011785806</v>
      </c>
      <c r="R41" s="40">
        <f>AVERAGE(R66,R68,R70)</f>
        <v>2.3706623110427878</v>
      </c>
      <c r="S41" s="40">
        <f>AVERAGE(S66,S68,S70)</f>
        <v>3.1124032795285679</v>
      </c>
      <c r="U41" s="59">
        <f t="shared" si="3"/>
        <v>5.6672888541882543E-3</v>
      </c>
      <c r="V41" s="59">
        <f t="shared" si="4"/>
        <v>8.0890375064158089E-3</v>
      </c>
      <c r="W41" s="59">
        <f t="shared" si="5"/>
        <v>1.061996335198149E-2</v>
      </c>
    </row>
    <row r="42" spans="2:23" x14ac:dyDescent="0.25">
      <c r="B42" s="53" t="s">
        <v>65</v>
      </c>
      <c r="C42" s="54">
        <v>5</v>
      </c>
      <c r="D42" s="55" t="s">
        <v>71</v>
      </c>
      <c r="E42" s="54">
        <v>4</v>
      </c>
      <c r="M42" s="59">
        <f>AVERAGE(M72,M74,M76)</f>
        <v>4.3978813944954122E-3</v>
      </c>
      <c r="N42" s="59">
        <f>AVERAGE(N72,N74,N76)</f>
        <v>6.1060391926605504E-3</v>
      </c>
      <c r="O42" s="59">
        <f>AVERAGE(O72,O74,O76)</f>
        <v>8.4258008073394477E-3</v>
      </c>
      <c r="Q42" s="40">
        <f>AVERAGE(Q72,Q74,Q76)</f>
        <v>1.1955119139123751</v>
      </c>
      <c r="R42" s="40">
        <f>AVERAGE(R72,R74,R76)</f>
        <v>1.6798251345119137</v>
      </c>
      <c r="S42" s="40">
        <f>AVERAGE(S72,S74,S76)</f>
        <v>2.3604815526518066</v>
      </c>
      <c r="U42" s="59">
        <f t="shared" si="3"/>
        <v>4.0792569510882176E-3</v>
      </c>
      <c r="V42" s="59">
        <f t="shared" si="4"/>
        <v>5.7318026502516922E-3</v>
      </c>
      <c r="W42" s="59">
        <f t="shared" si="5"/>
        <v>8.0542993085354966E-3</v>
      </c>
    </row>
    <row r="43" spans="2:23" x14ac:dyDescent="0.25">
      <c r="B43" s="53" t="s">
        <v>65</v>
      </c>
      <c r="C43" s="54">
        <v>6</v>
      </c>
      <c r="D43" s="55" t="s">
        <v>72</v>
      </c>
      <c r="E43" s="54">
        <v>4</v>
      </c>
      <c r="M43" s="59">
        <f>AVERAGE(M42,M44)</f>
        <v>4.5986940917431187E-3</v>
      </c>
      <c r="N43" s="59">
        <f>AVERAGE(N42,N44)</f>
        <v>6.152701064220183E-3</v>
      </c>
      <c r="O43" s="59">
        <f>AVERAGE(O42,O44)</f>
        <v>9.0124071926605508E-3</v>
      </c>
      <c r="Q43" s="40">
        <f>AVERAGE(Q42,Q44)</f>
        <v>1.2522332820906992</v>
      </c>
      <c r="R43" s="40">
        <f>AVERAGE(R42,R44)</f>
        <v>1.6580092236740969</v>
      </c>
      <c r="S43" s="40">
        <f>AVERAGE(S42,S44)</f>
        <v>2.4237476940814764</v>
      </c>
      <c r="U43" s="59">
        <f t="shared" si="3"/>
        <v>4.2727983392785336E-3</v>
      </c>
      <c r="V43" s="59">
        <f t="shared" si="4"/>
        <v>5.6573636547938783E-3</v>
      </c>
      <c r="W43" s="59">
        <f t="shared" si="5"/>
        <v>8.2701723953631581E-3</v>
      </c>
    </row>
    <row r="44" spans="2:23" x14ac:dyDescent="0.25">
      <c r="B44" s="53" t="s">
        <v>65</v>
      </c>
      <c r="C44" s="54">
        <v>7</v>
      </c>
      <c r="D44" s="55"/>
      <c r="E44" s="54">
        <v>4</v>
      </c>
      <c r="M44" s="60">
        <f>M78</f>
        <v>4.7995067889908261E-3</v>
      </c>
      <c r="N44" s="60">
        <f>N78</f>
        <v>6.1993629357798164E-3</v>
      </c>
      <c r="O44" s="60">
        <f>O78</f>
        <v>9.5990135779816521E-3</v>
      </c>
      <c r="Q44" s="42">
        <f>Q78</f>
        <v>1.3089546502690235</v>
      </c>
      <c r="R44" s="42">
        <f>R78</f>
        <v>1.6361933128362802</v>
      </c>
      <c r="S44" s="42">
        <f>S78</f>
        <v>2.4870138355111457</v>
      </c>
      <c r="U44" s="59">
        <f t="shared" si="3"/>
        <v>4.4663397274688496E-3</v>
      </c>
      <c r="V44" s="59">
        <f t="shared" si="4"/>
        <v>5.5829246593360653E-3</v>
      </c>
      <c r="W44" s="59">
        <f t="shared" si="5"/>
        <v>8.4860454821908196E-3</v>
      </c>
    </row>
    <row r="48" spans="2:23" ht="18.75" x14ac:dyDescent="0.3">
      <c r="B48" s="52" t="s">
        <v>73</v>
      </c>
    </row>
    <row r="49" spans="2:28" x14ac:dyDescent="0.25">
      <c r="F49" s="198" t="s">
        <v>55</v>
      </c>
      <c r="G49" s="199"/>
      <c r="H49" s="199"/>
      <c r="I49" s="199"/>
      <c r="J49" s="199"/>
      <c r="K49" s="200"/>
      <c r="M49" s="201" t="s">
        <v>40</v>
      </c>
      <c r="N49" s="202"/>
      <c r="O49" s="203"/>
      <c r="Q49" s="201" t="s">
        <v>41</v>
      </c>
      <c r="R49" s="202"/>
      <c r="S49" s="203"/>
      <c r="U49" s="201" t="s">
        <v>41</v>
      </c>
      <c r="V49" s="202"/>
      <c r="W49" s="203"/>
      <c r="Y49" s="3"/>
    </row>
    <row r="50" spans="2:28" x14ac:dyDescent="0.25">
      <c r="B50" s="4"/>
      <c r="C50" s="4"/>
      <c r="D50" s="4"/>
      <c r="E50" s="204" t="s">
        <v>59</v>
      </c>
      <c r="F50" s="19"/>
      <c r="G50" s="36" t="s">
        <v>40</v>
      </c>
      <c r="H50" s="20"/>
      <c r="I50" s="20"/>
      <c r="J50" s="36" t="s">
        <v>41</v>
      </c>
      <c r="K50" s="21"/>
      <c r="M50" s="210" t="s">
        <v>56</v>
      </c>
      <c r="N50" s="211"/>
      <c r="O50" s="212"/>
      <c r="Q50" s="210" t="s">
        <v>56</v>
      </c>
      <c r="R50" s="211"/>
      <c r="S50" s="212"/>
      <c r="U50" s="210" t="s">
        <v>56</v>
      </c>
      <c r="V50" s="211"/>
      <c r="W50" s="212"/>
      <c r="Y50" s="3"/>
    </row>
    <row r="51" spans="2:28" ht="14.45" customHeight="1" x14ac:dyDescent="0.25">
      <c r="B51" s="193" t="s">
        <v>0</v>
      </c>
      <c r="C51" s="193" t="s">
        <v>29</v>
      </c>
      <c r="D51" s="193" t="s">
        <v>1</v>
      </c>
      <c r="E51" s="205"/>
      <c r="F51" s="22"/>
      <c r="G51" s="23" t="s">
        <v>2</v>
      </c>
      <c r="H51" s="23"/>
      <c r="J51" s="23" t="s">
        <v>2</v>
      </c>
      <c r="K51" s="37"/>
      <c r="M51" s="207" t="s">
        <v>60</v>
      </c>
      <c r="N51" s="208"/>
      <c r="O51" s="209"/>
      <c r="Q51" s="195" t="s">
        <v>61</v>
      </c>
      <c r="R51" s="196"/>
      <c r="S51" s="197"/>
      <c r="U51" s="195" t="s">
        <v>62</v>
      </c>
      <c r="V51" s="196"/>
      <c r="W51" s="197"/>
    </row>
    <row r="52" spans="2:28" x14ac:dyDescent="0.25">
      <c r="B52" s="193"/>
      <c r="C52" s="194"/>
      <c r="D52" s="193"/>
      <c r="E52" s="206"/>
      <c r="F52" s="38" t="s">
        <v>3</v>
      </c>
      <c r="G52" s="24" t="s">
        <v>4</v>
      </c>
      <c r="H52" s="24" t="s">
        <v>5</v>
      </c>
      <c r="I52" s="24" t="s">
        <v>3</v>
      </c>
      <c r="J52" s="24" t="s">
        <v>4</v>
      </c>
      <c r="K52" s="39" t="s">
        <v>5</v>
      </c>
      <c r="M52" s="25" t="s">
        <v>3</v>
      </c>
      <c r="N52" s="25" t="s">
        <v>4</v>
      </c>
      <c r="O52" s="25" t="s">
        <v>5</v>
      </c>
      <c r="Q52" s="25" t="s">
        <v>3</v>
      </c>
      <c r="R52" s="25" t="s">
        <v>4</v>
      </c>
      <c r="S52" s="25" t="s">
        <v>5</v>
      </c>
      <c r="U52" s="25" t="s">
        <v>3</v>
      </c>
      <c r="V52" s="25" t="s">
        <v>4</v>
      </c>
      <c r="W52" s="25" t="s">
        <v>5</v>
      </c>
    </row>
    <row r="53" spans="2:28" x14ac:dyDescent="0.25">
      <c r="B53" s="26" t="s">
        <v>6</v>
      </c>
      <c r="C53" s="26" t="s">
        <v>30</v>
      </c>
      <c r="D53" s="26" t="s">
        <v>7</v>
      </c>
      <c r="E53" s="49">
        <v>12</v>
      </c>
      <c r="F53" s="27">
        <v>2910.0009599999998</v>
      </c>
      <c r="G53" s="27">
        <v>3880.00128</v>
      </c>
      <c r="H53" s="27">
        <v>4904.4960000000001</v>
      </c>
      <c r="I53" s="27">
        <v>1498.596</v>
      </c>
      <c r="J53" s="27">
        <v>1989.0455999999999</v>
      </c>
      <c r="K53" s="27">
        <v>2513.5542</v>
      </c>
      <c r="M53" s="40">
        <f t="shared" ref="M53:M78" si="6">F53/1.09/1000*0.8/10/$E53</f>
        <v>1.7798171009174309E-2</v>
      </c>
      <c r="N53" s="40">
        <f t="shared" ref="N53:N78" si="7">G53/1.09/1000*0.8/10/$E53</f>
        <v>2.3730894678899078E-2</v>
      </c>
      <c r="O53" s="40">
        <f t="shared" ref="O53:O78" si="8">H53/1.09/1000*0.8/10/$E53</f>
        <v>2.9996917431192659E-2</v>
      </c>
      <c r="Q53" s="40">
        <f t="shared" ref="Q53:Q78" si="9">I53/0.1301/1000*5/$E53</f>
        <v>4.7995003843197548</v>
      </c>
      <c r="R53" s="40">
        <f t="shared" ref="R53:R78" si="10">J53/0.1301/1000*5/$E53</f>
        <v>6.3702459646425824</v>
      </c>
      <c r="S53" s="40">
        <f t="shared" ref="S53:S78" si="11">K53/0.1301/1000*5/$E53</f>
        <v>8.050071099154497</v>
      </c>
      <c r="U53" s="40">
        <f>Q53/293</f>
        <v>1.6380547386756841E-2</v>
      </c>
      <c r="V53" s="40">
        <f t="shared" ref="V53:V78" si="12">R53/293</f>
        <v>2.1741453804240897E-2</v>
      </c>
      <c r="W53" s="40">
        <f t="shared" ref="W53:W78" si="13">S53/293</f>
        <v>2.7474645389605791E-2</v>
      </c>
    </row>
    <row r="54" spans="2:28" x14ac:dyDescent="0.25">
      <c r="B54" s="28" t="s">
        <v>8</v>
      </c>
      <c r="C54" s="28" t="s">
        <v>31</v>
      </c>
      <c r="D54" s="28" t="s">
        <v>7</v>
      </c>
      <c r="E54" s="41">
        <v>12</v>
      </c>
      <c r="F54" s="29">
        <v>566.74176</v>
      </c>
      <c r="G54" s="29">
        <v>795.61824000000001</v>
      </c>
      <c r="H54" s="29">
        <v>1089.8879999999999</v>
      </c>
      <c r="I54" s="29">
        <v>292.9074</v>
      </c>
      <c r="J54" s="29">
        <v>408.70800000000003</v>
      </c>
      <c r="K54" s="29">
        <v>558.56759999999997</v>
      </c>
      <c r="M54" s="40">
        <f t="shared" si="6"/>
        <v>3.466310458715597E-3</v>
      </c>
      <c r="N54" s="40">
        <f t="shared" si="7"/>
        <v>4.8661666055045882E-3</v>
      </c>
      <c r="O54" s="40">
        <f t="shared" si="8"/>
        <v>6.6659816513761462E-3</v>
      </c>
      <c r="Q54" s="40">
        <f t="shared" si="9"/>
        <v>0.93808416602613398</v>
      </c>
      <c r="R54" s="40">
        <f t="shared" si="10"/>
        <v>1.3089546502690239</v>
      </c>
      <c r="S54" s="40">
        <f t="shared" si="11"/>
        <v>1.7889046887009992</v>
      </c>
      <c r="U54" s="40">
        <f t="shared" ref="U54:U78" si="14">Q54/293</f>
        <v>3.2016524437752012E-3</v>
      </c>
      <c r="V54" s="40">
        <f t="shared" si="12"/>
        <v>4.4674220145700478E-3</v>
      </c>
      <c r="W54" s="40">
        <f t="shared" si="13"/>
        <v>6.1054767532457309E-3</v>
      </c>
    </row>
    <row r="55" spans="2:28" x14ac:dyDescent="0.25">
      <c r="B55" s="26" t="s">
        <v>9</v>
      </c>
      <c r="C55" s="26" t="s">
        <v>32</v>
      </c>
      <c r="D55" s="26" t="s">
        <v>10</v>
      </c>
      <c r="E55" s="49">
        <v>8</v>
      </c>
      <c r="F55" s="27">
        <v>1885.5062399999999</v>
      </c>
      <c r="G55" s="27">
        <v>2419.5513599999999</v>
      </c>
      <c r="H55" s="27">
        <v>3018.9897599999999</v>
      </c>
      <c r="I55" s="27">
        <v>926.40480000000002</v>
      </c>
      <c r="J55" s="27">
        <v>1192.0650000000001</v>
      </c>
      <c r="K55" s="27">
        <v>1484.9724000000001</v>
      </c>
      <c r="M55" s="40">
        <f t="shared" si="6"/>
        <v>1.72982223853211E-2</v>
      </c>
      <c r="N55" s="40">
        <f t="shared" si="7"/>
        <v>2.2197718899082567E-2</v>
      </c>
      <c r="O55" s="40">
        <f t="shared" si="8"/>
        <v>2.7697153761467891E-2</v>
      </c>
      <c r="Q55" s="40">
        <f t="shared" si="9"/>
        <v>4.4504458109146814</v>
      </c>
      <c r="R55" s="40">
        <f t="shared" si="10"/>
        <v>5.72667659492698</v>
      </c>
      <c r="S55" s="40">
        <f t="shared" si="11"/>
        <v>7.1338028439661807</v>
      </c>
      <c r="U55" s="40">
        <f t="shared" si="14"/>
        <v>1.5189234849538161E-2</v>
      </c>
      <c r="V55" s="40">
        <f t="shared" si="12"/>
        <v>1.9544971313743959E-2</v>
      </c>
      <c r="W55" s="40">
        <f t="shared" si="13"/>
        <v>2.4347449979406761E-2</v>
      </c>
    </row>
    <row r="56" spans="2:28" x14ac:dyDescent="0.25">
      <c r="B56" s="28" t="s">
        <v>11</v>
      </c>
      <c r="C56" s="28" t="s">
        <v>33</v>
      </c>
      <c r="D56" s="28" t="s">
        <v>10</v>
      </c>
      <c r="E56" s="41">
        <v>8</v>
      </c>
      <c r="F56" s="29">
        <v>130.78656000000001</v>
      </c>
      <c r="G56" s="29">
        <v>228.87648000000002</v>
      </c>
      <c r="H56" s="29">
        <v>348.76416</v>
      </c>
      <c r="I56" s="29">
        <v>61.306200000000004</v>
      </c>
      <c r="J56" s="29">
        <v>115.8006</v>
      </c>
      <c r="K56" s="29">
        <v>170.29500000000002</v>
      </c>
      <c r="M56" s="40">
        <f t="shared" si="6"/>
        <v>1.1998766972477065E-3</v>
      </c>
      <c r="N56" s="40">
        <f t="shared" si="7"/>
        <v>2.0997842201834864E-3</v>
      </c>
      <c r="O56" s="40">
        <f t="shared" si="8"/>
        <v>3.1996711926605506E-3</v>
      </c>
      <c r="Q56" s="40">
        <f t="shared" si="9"/>
        <v>0.2945147963105304</v>
      </c>
      <c r="R56" s="40">
        <f t="shared" si="10"/>
        <v>0.55630572636433517</v>
      </c>
      <c r="S56" s="40">
        <f t="shared" si="11"/>
        <v>0.81809665641814011</v>
      </c>
      <c r="U56" s="40">
        <f t="shared" si="14"/>
        <v>1.0051699532782608E-3</v>
      </c>
      <c r="V56" s="40">
        <f t="shared" si="12"/>
        <v>1.8986543561922702E-3</v>
      </c>
      <c r="W56" s="40">
        <f t="shared" si="13"/>
        <v>2.7921387591062804E-3</v>
      </c>
    </row>
    <row r="57" spans="2:28" x14ac:dyDescent="0.25">
      <c r="B57" s="26" t="s">
        <v>12</v>
      </c>
      <c r="C57" s="26" t="s">
        <v>34</v>
      </c>
      <c r="D57" s="26" t="s">
        <v>13</v>
      </c>
      <c r="E57" s="49">
        <v>7</v>
      </c>
      <c r="F57" s="27">
        <v>2059.88832</v>
      </c>
      <c r="G57" s="27">
        <v>2615.7312000000002</v>
      </c>
      <c r="H57" s="27">
        <v>3345.9561600000002</v>
      </c>
      <c r="I57" s="27">
        <v>1035.3936000000001</v>
      </c>
      <c r="J57" s="27">
        <v>1321.4892</v>
      </c>
      <c r="K57" s="27">
        <v>1689.3263999999999</v>
      </c>
      <c r="M57" s="40">
        <f t="shared" si="6"/>
        <v>2.1597780550458714E-2</v>
      </c>
      <c r="N57" s="40">
        <f t="shared" si="7"/>
        <v>2.7425753079947577E-2</v>
      </c>
      <c r="O57" s="40">
        <f t="shared" si="8"/>
        <v>3.5082109148099609E-2</v>
      </c>
      <c r="Q57" s="40">
        <f t="shared" si="9"/>
        <v>5.6846030525969047</v>
      </c>
      <c r="R57" s="40">
        <f t="shared" si="10"/>
        <v>7.2553486329197323</v>
      </c>
      <c r="S57" s="40">
        <f t="shared" si="11"/>
        <v>9.274878664763369</v>
      </c>
      <c r="U57" s="40">
        <f t="shared" si="14"/>
        <v>1.9401375606132781E-2</v>
      </c>
      <c r="V57" s="40">
        <f t="shared" si="12"/>
        <v>2.4762282023616834E-2</v>
      </c>
      <c r="W57" s="40">
        <f t="shared" si="13"/>
        <v>3.1654875988953481E-2</v>
      </c>
      <c r="Z57" s="1"/>
      <c r="AA57" s="1"/>
      <c r="AB57" s="1"/>
    </row>
    <row r="58" spans="2:28" x14ac:dyDescent="0.25">
      <c r="B58" s="28" t="s">
        <v>11</v>
      </c>
      <c r="C58" s="28" t="s">
        <v>35</v>
      </c>
      <c r="D58" s="28" t="s">
        <v>13</v>
      </c>
      <c r="E58" s="41">
        <v>7</v>
      </c>
      <c r="F58" s="29">
        <v>250.67424</v>
      </c>
      <c r="G58" s="29">
        <v>381.46080000000001</v>
      </c>
      <c r="H58" s="29">
        <v>555.84288000000004</v>
      </c>
      <c r="I58" s="29">
        <v>122.61240000000001</v>
      </c>
      <c r="J58" s="29">
        <v>190.7304</v>
      </c>
      <c r="K58" s="29">
        <v>279.28379999999999</v>
      </c>
      <c r="M58" s="40">
        <f t="shared" si="6"/>
        <v>2.6283013368283092E-3</v>
      </c>
      <c r="N58" s="40">
        <f t="shared" si="7"/>
        <v>3.9995889908256881E-3</v>
      </c>
      <c r="O58" s="40">
        <f t="shared" si="8"/>
        <v>5.8279725294888588E-3</v>
      </c>
      <c r="Q58" s="40">
        <f t="shared" si="9"/>
        <v>0.67317667728121233</v>
      </c>
      <c r="R58" s="40">
        <f t="shared" si="10"/>
        <v>1.0471637202152191</v>
      </c>
      <c r="S58" s="40">
        <f t="shared" si="11"/>
        <v>1.533346876029428</v>
      </c>
      <c r="U58" s="40">
        <f t="shared" si="14"/>
        <v>2.2975313217788815E-3</v>
      </c>
      <c r="V58" s="40">
        <f t="shared" si="12"/>
        <v>3.573937611656038E-3</v>
      </c>
      <c r="W58" s="40">
        <f t="shared" si="13"/>
        <v>5.2332657884963411E-3</v>
      </c>
      <c r="Z58" s="1"/>
      <c r="AA58" s="1"/>
      <c r="AB58" s="1"/>
    </row>
    <row r="59" spans="2:28" x14ac:dyDescent="0.25">
      <c r="B59" s="26" t="s">
        <v>14</v>
      </c>
      <c r="C59" s="26" t="s">
        <v>34</v>
      </c>
      <c r="D59" s="26" t="s">
        <v>13</v>
      </c>
      <c r="E59" s="49">
        <v>7</v>
      </c>
      <c r="F59" s="27">
        <v>2321.46144</v>
      </c>
      <c r="G59" s="27">
        <v>3062.5852800000002</v>
      </c>
      <c r="H59" s="27">
        <v>3923.5968000000003</v>
      </c>
      <c r="I59" s="27">
        <v>1144.3824</v>
      </c>
      <c r="J59" s="27">
        <v>1512.2196000000001</v>
      </c>
      <c r="K59" s="27">
        <v>1941.3630000000001</v>
      </c>
      <c r="M59" s="40">
        <f t="shared" si="6"/>
        <v>2.4340355858453473E-2</v>
      </c>
      <c r="N59" s="40">
        <f t="shared" si="7"/>
        <v>3.2110985897771956E-2</v>
      </c>
      <c r="O59" s="40">
        <f t="shared" si="8"/>
        <v>4.1138629619921374E-2</v>
      </c>
      <c r="Q59" s="40">
        <f t="shared" si="9"/>
        <v>6.2829823212913141</v>
      </c>
      <c r="R59" s="40">
        <f t="shared" si="10"/>
        <v>8.3025123531349525</v>
      </c>
      <c r="S59" s="40">
        <f t="shared" si="11"/>
        <v>10.658630723619195</v>
      </c>
      <c r="U59" s="40">
        <f t="shared" si="14"/>
        <v>2.1443625669936225E-2</v>
      </c>
      <c r="V59" s="40">
        <f t="shared" si="12"/>
        <v>2.8336219635272875E-2</v>
      </c>
      <c r="W59" s="40">
        <f t="shared" si="13"/>
        <v>3.6377579261498962E-2</v>
      </c>
      <c r="Z59" s="1"/>
      <c r="AA59" s="1"/>
      <c r="AB59" s="1"/>
    </row>
    <row r="60" spans="2:28" x14ac:dyDescent="0.25">
      <c r="B60" s="28" t="s">
        <v>11</v>
      </c>
      <c r="C60" s="28" t="s">
        <v>35</v>
      </c>
      <c r="D60" s="28" t="s">
        <v>13</v>
      </c>
      <c r="E60" s="41">
        <v>7</v>
      </c>
      <c r="F60" s="29">
        <v>435.95519999999999</v>
      </c>
      <c r="G60" s="29">
        <v>577.64063999999996</v>
      </c>
      <c r="H60" s="29">
        <v>806.51711999999998</v>
      </c>
      <c r="I60" s="29">
        <v>211.16579999999999</v>
      </c>
      <c r="J60" s="29">
        <v>279.28379999999999</v>
      </c>
      <c r="K60" s="29">
        <v>395.08440000000002</v>
      </c>
      <c r="M60" s="40">
        <f t="shared" si="6"/>
        <v>4.5709588466579295E-3</v>
      </c>
      <c r="N60" s="40">
        <f t="shared" si="7"/>
        <v>6.0565204718217563E-3</v>
      </c>
      <c r="O60" s="40">
        <f t="shared" si="8"/>
        <v>8.4562738663171693E-3</v>
      </c>
      <c r="Q60" s="40">
        <f t="shared" si="9"/>
        <v>1.1593598330954211</v>
      </c>
      <c r="R60" s="40">
        <f t="shared" si="10"/>
        <v>1.533346876029428</v>
      </c>
      <c r="S60" s="40">
        <f t="shared" si="11"/>
        <v>2.1691248490172397</v>
      </c>
      <c r="U60" s="40">
        <f t="shared" si="14"/>
        <v>3.9568594986191851E-3</v>
      </c>
      <c r="V60" s="40">
        <f t="shared" si="12"/>
        <v>5.2332657884963411E-3</v>
      </c>
      <c r="W60" s="40">
        <f t="shared" si="13"/>
        <v>7.4031564812875074E-3</v>
      </c>
      <c r="Z60" s="1"/>
      <c r="AA60" s="1"/>
      <c r="AB60" s="1"/>
    </row>
    <row r="61" spans="2:28" x14ac:dyDescent="0.25">
      <c r="B61" s="26" t="s">
        <v>15</v>
      </c>
      <c r="C61" s="26" t="s">
        <v>36</v>
      </c>
      <c r="D61" s="26" t="s">
        <v>16</v>
      </c>
      <c r="E61" s="49">
        <v>6</v>
      </c>
      <c r="F61" s="27">
        <v>2539.4390400000002</v>
      </c>
      <c r="G61" s="27">
        <v>3236.9673600000001</v>
      </c>
      <c r="H61" s="27">
        <v>3956.2934399999999</v>
      </c>
      <c r="I61" s="27">
        <v>1294.242</v>
      </c>
      <c r="J61" s="27">
        <v>1648.4556</v>
      </c>
      <c r="K61" s="27">
        <v>2023.1046000000001</v>
      </c>
      <c r="M61" s="40">
        <f t="shared" si="6"/>
        <v>3.1063474495412847E-2</v>
      </c>
      <c r="N61" s="40">
        <f t="shared" si="7"/>
        <v>3.9595931009174308E-2</v>
      </c>
      <c r="O61" s="40">
        <f t="shared" si="8"/>
        <v>4.8395026788990825E-2</v>
      </c>
      <c r="Q61" s="40">
        <f t="shared" si="9"/>
        <v>8.2900461183704852</v>
      </c>
      <c r="R61" s="40">
        <f t="shared" si="10"/>
        <v>10.558900845503459</v>
      </c>
      <c r="S61" s="40">
        <f t="shared" si="11"/>
        <v>12.958651037663337</v>
      </c>
      <c r="U61" s="40">
        <f t="shared" si="14"/>
        <v>2.8293672758943636E-2</v>
      </c>
      <c r="V61" s="40">
        <f t="shared" si="12"/>
        <v>3.6037204250865047E-2</v>
      </c>
      <c r="W61" s="40">
        <f t="shared" si="13"/>
        <v>4.4227477944243469E-2</v>
      </c>
      <c r="Z61" s="1"/>
      <c r="AA61" s="1"/>
      <c r="AB61" s="1"/>
    </row>
    <row r="62" spans="2:28" x14ac:dyDescent="0.25">
      <c r="B62" s="28" t="s">
        <v>11</v>
      </c>
      <c r="C62" s="28" t="s">
        <v>37</v>
      </c>
      <c r="D62" s="28" t="s">
        <v>16</v>
      </c>
      <c r="E62" s="41">
        <v>6</v>
      </c>
      <c r="F62" s="29">
        <v>228.87648000000002</v>
      </c>
      <c r="G62" s="29">
        <v>414.15744000000001</v>
      </c>
      <c r="H62" s="29">
        <v>643.03391999999997</v>
      </c>
      <c r="I62" s="29">
        <v>115.8006</v>
      </c>
      <c r="J62" s="29">
        <v>211.16579999999999</v>
      </c>
      <c r="K62" s="29">
        <v>326.96640000000002</v>
      </c>
      <c r="M62" s="40">
        <f t="shared" si="6"/>
        <v>2.799712293577982E-3</v>
      </c>
      <c r="N62" s="40">
        <f t="shared" si="7"/>
        <v>5.066146055045872E-3</v>
      </c>
      <c r="O62" s="40">
        <f t="shared" si="8"/>
        <v>7.8658583486238536E-3</v>
      </c>
      <c r="Q62" s="40">
        <f t="shared" si="9"/>
        <v>0.74174096848578019</v>
      </c>
      <c r="R62" s="40">
        <f t="shared" si="10"/>
        <v>1.3525864719446581</v>
      </c>
      <c r="S62" s="40">
        <f t="shared" si="11"/>
        <v>2.0943274404304382</v>
      </c>
      <c r="U62" s="40">
        <f t="shared" si="14"/>
        <v>2.5315391415896933E-3</v>
      </c>
      <c r="V62" s="40">
        <f t="shared" si="12"/>
        <v>4.6163360817223827E-3</v>
      </c>
      <c r="W62" s="40">
        <f t="shared" si="13"/>
        <v>7.147875223312076E-3</v>
      </c>
      <c r="Z62" s="1"/>
      <c r="AA62" s="1"/>
      <c r="AB62" s="1"/>
    </row>
    <row r="63" spans="2:28" x14ac:dyDescent="0.25">
      <c r="B63" s="26" t="s">
        <v>26</v>
      </c>
      <c r="C63" s="26" t="s">
        <v>47</v>
      </c>
      <c r="D63" s="26" t="s">
        <v>27</v>
      </c>
      <c r="E63" s="49">
        <v>3</v>
      </c>
      <c r="F63" s="27">
        <v>2125.2815999999998</v>
      </c>
      <c r="G63" s="27">
        <v>2528.54016</v>
      </c>
      <c r="H63" s="27">
        <v>2953.5964800000002</v>
      </c>
      <c r="I63" s="27">
        <v>1089.8879999999999</v>
      </c>
      <c r="J63" s="27">
        <v>1294.242</v>
      </c>
      <c r="K63" s="27">
        <v>1512.2196000000001</v>
      </c>
      <c r="M63" s="40">
        <f t="shared" si="6"/>
        <v>5.199465688073393E-2</v>
      </c>
      <c r="N63" s="40">
        <f t="shared" si="7"/>
        <v>6.1860309724770642E-2</v>
      </c>
      <c r="O63" s="40">
        <f t="shared" si="8"/>
        <v>7.2259241100917429E-2</v>
      </c>
      <c r="Q63" s="40">
        <f t="shared" si="9"/>
        <v>13.962182936202916</v>
      </c>
      <c r="R63" s="40">
        <f t="shared" si="10"/>
        <v>16.58009223674097</v>
      </c>
      <c r="S63" s="40">
        <f t="shared" si="11"/>
        <v>19.372528823981558</v>
      </c>
      <c r="U63" s="40">
        <f t="shared" ref="U63:W64" si="15">Q63/293</f>
        <v>4.7652501488747154E-2</v>
      </c>
      <c r="V63" s="40">
        <f t="shared" si="15"/>
        <v>5.6587345517887272E-2</v>
      </c>
      <c r="W63" s="40">
        <f t="shared" si="15"/>
        <v>6.6117845815636719E-2</v>
      </c>
      <c r="Z63" s="1"/>
      <c r="AA63" s="1"/>
      <c r="AB63" s="1"/>
    </row>
    <row r="64" spans="2:28" x14ac:dyDescent="0.25">
      <c r="B64" s="28" t="s">
        <v>11</v>
      </c>
      <c r="C64" s="28" t="s">
        <v>48</v>
      </c>
      <c r="D64" s="28" t="s">
        <v>27</v>
      </c>
      <c r="E64" s="41">
        <v>3</v>
      </c>
      <c r="F64" s="29">
        <v>261.57312000000002</v>
      </c>
      <c r="G64" s="29">
        <v>435.95519999999999</v>
      </c>
      <c r="H64" s="29">
        <v>643.03391999999997</v>
      </c>
      <c r="I64" s="29">
        <v>129.42420000000001</v>
      </c>
      <c r="J64" s="29">
        <v>224.7894</v>
      </c>
      <c r="K64" s="29">
        <v>326.96640000000002</v>
      </c>
      <c r="M64" s="40">
        <f t="shared" si="6"/>
        <v>6.3993423853211011E-3</v>
      </c>
      <c r="N64" s="40">
        <f t="shared" si="7"/>
        <v>1.0665570642201834E-2</v>
      </c>
      <c r="O64" s="40">
        <f t="shared" si="8"/>
        <v>1.5731716697247707E-2</v>
      </c>
      <c r="Q64" s="40">
        <f t="shared" si="9"/>
        <v>1.6580092236740971</v>
      </c>
      <c r="R64" s="40">
        <f t="shared" si="10"/>
        <v>2.8797002305918524</v>
      </c>
      <c r="S64" s="40">
        <f t="shared" si="11"/>
        <v>4.1886548808608763</v>
      </c>
      <c r="U64" s="40">
        <f t="shared" si="15"/>
        <v>5.658734551788727E-3</v>
      </c>
      <c r="V64" s="40">
        <f t="shared" si="15"/>
        <v>9.8283284320541033E-3</v>
      </c>
      <c r="W64" s="40">
        <f t="shared" si="15"/>
        <v>1.4295750446624152E-2</v>
      </c>
      <c r="Z64" s="1"/>
      <c r="AA64" s="1"/>
      <c r="AB64" s="1"/>
    </row>
    <row r="65" spans="2:28" x14ac:dyDescent="0.25">
      <c r="B65" s="26" t="s">
        <v>17</v>
      </c>
      <c r="C65" s="26" t="s">
        <v>38</v>
      </c>
      <c r="D65" s="26" t="s">
        <v>16</v>
      </c>
      <c r="E65" s="49">
        <v>6</v>
      </c>
      <c r="F65" s="27">
        <v>1953.6242400000001</v>
      </c>
      <c r="G65" s="27">
        <v>2550.3379199999999</v>
      </c>
      <c r="H65" s="27">
        <v>3247.8662399999998</v>
      </c>
      <c r="I65" s="27">
        <v>974.0874</v>
      </c>
      <c r="J65" s="27">
        <v>1273.8066000000001</v>
      </c>
      <c r="K65" s="27">
        <v>1614.3966</v>
      </c>
      <c r="M65" s="40">
        <f t="shared" si="6"/>
        <v>2.3897544220183486E-2</v>
      </c>
      <c r="N65" s="40">
        <f t="shared" si="7"/>
        <v>3.1196794128440369E-2</v>
      </c>
      <c r="O65" s="40">
        <f t="shared" si="8"/>
        <v>3.9729250642201834E-2</v>
      </c>
      <c r="Q65" s="40">
        <f t="shared" si="9"/>
        <v>6.2393504996156812</v>
      </c>
      <c r="R65" s="40">
        <f t="shared" si="10"/>
        <v>8.1591506533435822</v>
      </c>
      <c r="S65" s="40">
        <f t="shared" si="11"/>
        <v>10.34074173712529</v>
      </c>
      <c r="U65" s="40">
        <f t="shared" si="14"/>
        <v>2.1294711602783897E-2</v>
      </c>
      <c r="V65" s="40">
        <f t="shared" si="12"/>
        <v>2.7846930557486629E-2</v>
      </c>
      <c r="W65" s="40">
        <f t="shared" si="13"/>
        <v>3.5292633915103379E-2</v>
      </c>
      <c r="Z65" s="1"/>
      <c r="AA65" s="1"/>
      <c r="AB65" s="1"/>
    </row>
    <row r="66" spans="2:28" x14ac:dyDescent="0.25">
      <c r="B66" s="28" t="s">
        <v>11</v>
      </c>
      <c r="C66" s="28" t="s">
        <v>39</v>
      </c>
      <c r="D66" s="28" t="s">
        <v>16</v>
      </c>
      <c r="E66" s="41">
        <v>6</v>
      </c>
      <c r="F66" s="29">
        <v>392.35968000000003</v>
      </c>
      <c r="G66" s="29">
        <v>566.74176</v>
      </c>
      <c r="H66" s="29">
        <v>741.12383999999997</v>
      </c>
      <c r="I66" s="29">
        <v>197.54220000000001</v>
      </c>
      <c r="J66" s="29">
        <v>279.28379999999999</v>
      </c>
      <c r="K66" s="29">
        <v>367.8372</v>
      </c>
      <c r="M66" s="40">
        <f t="shared" si="6"/>
        <v>4.7995067889908261E-3</v>
      </c>
      <c r="N66" s="40">
        <f t="shared" si="7"/>
        <v>6.932620917431194E-3</v>
      </c>
      <c r="O66" s="40">
        <f t="shared" si="8"/>
        <v>9.0657350458715567E-3</v>
      </c>
      <c r="Q66" s="40">
        <f t="shared" si="9"/>
        <v>1.26532282859339</v>
      </c>
      <c r="R66" s="40">
        <f t="shared" si="10"/>
        <v>1.7889046887009992</v>
      </c>
      <c r="S66" s="40">
        <f t="shared" si="11"/>
        <v>2.3561183704842428</v>
      </c>
      <c r="U66" s="40">
        <f t="shared" si="14"/>
        <v>4.3185079474177129E-3</v>
      </c>
      <c r="V66" s="40">
        <f t="shared" si="12"/>
        <v>6.1054767532457309E-3</v>
      </c>
      <c r="W66" s="40">
        <f t="shared" si="13"/>
        <v>8.0413596262260845E-3</v>
      </c>
      <c r="Z66" s="1"/>
      <c r="AA66" s="1"/>
      <c r="AB66" s="1"/>
    </row>
    <row r="67" spans="2:28" x14ac:dyDescent="0.25">
      <c r="B67" s="26" t="s">
        <v>18</v>
      </c>
      <c r="C67" s="26" t="s">
        <v>38</v>
      </c>
      <c r="D67" s="26" t="s">
        <v>19</v>
      </c>
      <c r="E67" s="49">
        <v>5</v>
      </c>
      <c r="F67" s="27">
        <v>1972.6972800000001</v>
      </c>
      <c r="G67" s="27">
        <v>2593.9334400000002</v>
      </c>
      <c r="H67" s="27">
        <v>3247.8662399999998</v>
      </c>
      <c r="I67" s="27">
        <v>1008.1464</v>
      </c>
      <c r="J67" s="27">
        <v>1328.3009999999999</v>
      </c>
      <c r="K67" s="27">
        <v>1662.0792000000001</v>
      </c>
      <c r="M67" s="40">
        <f t="shared" si="6"/>
        <v>2.8957024293577986E-2</v>
      </c>
      <c r="N67" s="40">
        <f t="shared" si="7"/>
        <v>3.8076087192660549E-2</v>
      </c>
      <c r="O67" s="40">
        <f t="shared" si="8"/>
        <v>4.7675100770642201E-2</v>
      </c>
      <c r="Q67" s="40">
        <f t="shared" si="9"/>
        <v>7.7490115295926216</v>
      </c>
      <c r="R67" s="40">
        <f t="shared" si="10"/>
        <v>10.209846272098385</v>
      </c>
      <c r="S67" s="40">
        <f t="shared" si="11"/>
        <v>12.775397386625675</v>
      </c>
      <c r="U67" s="40">
        <f t="shared" si="14"/>
        <v>2.6447138326254682E-2</v>
      </c>
      <c r="V67" s="40">
        <f t="shared" si="12"/>
        <v>3.4845891713646368E-2</v>
      </c>
      <c r="W67" s="40">
        <f t="shared" si="13"/>
        <v>4.3602038862203672E-2</v>
      </c>
      <c r="Z67" s="1"/>
      <c r="AA67" s="1"/>
      <c r="AB67" s="1"/>
    </row>
    <row r="68" spans="2:28" x14ac:dyDescent="0.25">
      <c r="B68" s="28" t="s">
        <v>11</v>
      </c>
      <c r="C68" s="28" t="s">
        <v>39</v>
      </c>
      <c r="D68" s="28" t="s">
        <v>19</v>
      </c>
      <c r="E68" s="41">
        <v>5</v>
      </c>
      <c r="F68" s="29">
        <v>283.37088</v>
      </c>
      <c r="G68" s="29">
        <v>403.25855999999999</v>
      </c>
      <c r="H68" s="29">
        <v>544.94399999999996</v>
      </c>
      <c r="I68" s="29">
        <v>143.0478</v>
      </c>
      <c r="J68" s="29">
        <v>204.35400000000001</v>
      </c>
      <c r="K68" s="29">
        <v>272.47199999999998</v>
      </c>
      <c r="M68" s="40">
        <f t="shared" si="6"/>
        <v>4.1595725504587162E-3</v>
      </c>
      <c r="N68" s="40">
        <f t="shared" si="7"/>
        <v>5.9193917064220185E-3</v>
      </c>
      <c r="O68" s="40">
        <f t="shared" si="8"/>
        <v>7.9991779816513762E-3</v>
      </c>
      <c r="Q68" s="40">
        <f t="shared" si="9"/>
        <v>1.09952190622598</v>
      </c>
      <c r="R68" s="40">
        <f t="shared" si="10"/>
        <v>1.5707455803228287</v>
      </c>
      <c r="S68" s="40">
        <f t="shared" si="11"/>
        <v>2.0943274404304377</v>
      </c>
      <c r="U68" s="40">
        <f t="shared" si="14"/>
        <v>3.7526344922388395E-3</v>
      </c>
      <c r="V68" s="40">
        <f t="shared" si="12"/>
        <v>5.3609064174840572E-3</v>
      </c>
      <c r="W68" s="40">
        <f t="shared" si="13"/>
        <v>7.1478752233120743E-3</v>
      </c>
      <c r="Z68" s="1"/>
      <c r="AA68" s="1"/>
      <c r="AB68" s="1"/>
    </row>
    <row r="69" spans="2:28" x14ac:dyDescent="0.25">
      <c r="B69" s="26" t="s">
        <v>28</v>
      </c>
      <c r="C69" s="26" t="s">
        <v>49</v>
      </c>
      <c r="D69" s="26" t="s">
        <v>27</v>
      </c>
      <c r="E69" s="49">
        <v>3</v>
      </c>
      <c r="F69" s="27">
        <v>2077.5990000000002</v>
      </c>
      <c r="G69" s="27">
        <v>2430.4502400000001</v>
      </c>
      <c r="H69" s="27">
        <v>2801.0121600000002</v>
      </c>
      <c r="I69" s="27">
        <v>1049.0172</v>
      </c>
      <c r="J69" s="27">
        <v>1226.124</v>
      </c>
      <c r="K69" s="27">
        <v>1410.0426</v>
      </c>
      <c r="M69" s="40">
        <f t="shared" si="6"/>
        <v>5.0828110091743123E-2</v>
      </c>
      <c r="N69" s="40">
        <f t="shared" si="7"/>
        <v>5.9460556330275222E-2</v>
      </c>
      <c r="O69" s="40">
        <f t="shared" si="8"/>
        <v>6.8526291376146797E-2</v>
      </c>
      <c r="Q69" s="40">
        <f t="shared" si="9"/>
        <v>13.438601076095315</v>
      </c>
      <c r="R69" s="40">
        <f t="shared" si="10"/>
        <v>15.707455803228285</v>
      </c>
      <c r="S69" s="40">
        <f t="shared" si="11"/>
        <v>18.063574173712528</v>
      </c>
      <c r="U69" s="40">
        <f t="shared" ref="U69:W70" si="16">Q69/293</f>
        <v>4.5865532682919166E-2</v>
      </c>
      <c r="V69" s="40">
        <f t="shared" si="16"/>
        <v>5.3609064174840564E-2</v>
      </c>
      <c r="W69" s="40">
        <f t="shared" si="16"/>
        <v>6.1650423801066646E-2</v>
      </c>
      <c r="Z69" s="1"/>
      <c r="AA69" s="1"/>
      <c r="AB69" s="1"/>
    </row>
    <row r="70" spans="2:28" x14ac:dyDescent="0.25">
      <c r="B70" s="28" t="s">
        <v>11</v>
      </c>
      <c r="C70" s="28" t="s">
        <v>50</v>
      </c>
      <c r="D70" s="28" t="s">
        <v>27</v>
      </c>
      <c r="E70" s="41">
        <v>3</v>
      </c>
      <c r="F70" s="29">
        <v>414.15744000000001</v>
      </c>
      <c r="G70" s="29">
        <v>577.64063999999996</v>
      </c>
      <c r="H70" s="29">
        <v>752.02272000000005</v>
      </c>
      <c r="I70" s="29">
        <v>204.35400000000001</v>
      </c>
      <c r="J70" s="29">
        <v>292.9074</v>
      </c>
      <c r="K70" s="29">
        <v>381.46080000000001</v>
      </c>
      <c r="M70" s="42">
        <f t="shared" si="6"/>
        <v>1.0132292110091744E-2</v>
      </c>
      <c r="N70" s="42">
        <f t="shared" si="7"/>
        <v>1.4131881100917431E-2</v>
      </c>
      <c r="O70" s="42">
        <f t="shared" si="8"/>
        <v>1.8398109357798165E-2</v>
      </c>
      <c r="Q70" s="42">
        <f t="shared" si="9"/>
        <v>2.6179093005380478</v>
      </c>
      <c r="R70" s="42">
        <f t="shared" si="10"/>
        <v>3.7523366641045359</v>
      </c>
      <c r="S70" s="42">
        <f t="shared" si="11"/>
        <v>4.8867640276710231</v>
      </c>
      <c r="U70" s="42">
        <f t="shared" si="16"/>
        <v>8.9348440291400957E-3</v>
      </c>
      <c r="V70" s="42">
        <f t="shared" si="16"/>
        <v>1.2806609775100805E-2</v>
      </c>
      <c r="W70" s="42">
        <f t="shared" si="16"/>
        <v>1.6678375521061512E-2</v>
      </c>
      <c r="Z70" s="1"/>
      <c r="AA70" s="1"/>
      <c r="AB70" s="1"/>
    </row>
    <row r="71" spans="2:28" x14ac:dyDescent="0.25">
      <c r="B71" s="26" t="s">
        <v>20</v>
      </c>
      <c r="C71" s="26" t="s">
        <v>42</v>
      </c>
      <c r="D71" s="26" t="s">
        <v>19</v>
      </c>
      <c r="E71" s="49">
        <v>5</v>
      </c>
      <c r="F71" s="27">
        <v>2208.3855600000002</v>
      </c>
      <c r="G71" s="27">
        <v>2822.8099200000001</v>
      </c>
      <c r="H71" s="27">
        <v>3454.9449600000003</v>
      </c>
      <c r="I71" s="27">
        <v>1103.5116</v>
      </c>
      <c r="J71" s="27">
        <v>1410.0426</v>
      </c>
      <c r="K71" s="27">
        <v>1730.1972000000001</v>
      </c>
      <c r="M71" s="40">
        <f t="shared" si="6"/>
        <v>3.2416668770642212E-2</v>
      </c>
      <c r="N71" s="40">
        <f t="shared" si="7"/>
        <v>4.1435741944954127E-2</v>
      </c>
      <c r="O71" s="40">
        <f t="shared" si="8"/>
        <v>5.0714788403669719E-2</v>
      </c>
      <c r="Q71" s="40">
        <f t="shared" si="9"/>
        <v>8.4820261337432754</v>
      </c>
      <c r="R71" s="40">
        <f t="shared" si="10"/>
        <v>10.838144504227516</v>
      </c>
      <c r="S71" s="40">
        <f t="shared" si="11"/>
        <v>13.298979246733282</v>
      </c>
      <c r="U71" s="40">
        <f t="shared" si="14"/>
        <v>2.8948894654413908E-2</v>
      </c>
      <c r="V71" s="40">
        <f t="shared" si="12"/>
        <v>3.6990254280639991E-2</v>
      </c>
      <c r="W71" s="40">
        <f t="shared" si="13"/>
        <v>4.5389007668031681E-2</v>
      </c>
      <c r="Z71" s="1"/>
      <c r="AA71" s="1"/>
      <c r="AB71" s="1"/>
    </row>
    <row r="72" spans="2:28" x14ac:dyDescent="0.25">
      <c r="B72" s="28" t="s">
        <v>11</v>
      </c>
      <c r="C72" s="28" t="s">
        <v>43</v>
      </c>
      <c r="D72" s="28" t="s">
        <v>19</v>
      </c>
      <c r="E72" s="41">
        <v>5</v>
      </c>
      <c r="F72" s="29">
        <v>294.26976000000002</v>
      </c>
      <c r="G72" s="29">
        <v>403.25855999999999</v>
      </c>
      <c r="H72" s="29">
        <v>523.14624000000003</v>
      </c>
      <c r="I72" s="29">
        <v>143.0478</v>
      </c>
      <c r="J72" s="29">
        <v>204.35400000000001</v>
      </c>
      <c r="K72" s="29">
        <v>265.66019999999997</v>
      </c>
      <c r="M72" s="40">
        <f t="shared" si="6"/>
        <v>4.3195561100917435E-3</v>
      </c>
      <c r="N72" s="40">
        <f t="shared" si="7"/>
        <v>5.9193917064220185E-3</v>
      </c>
      <c r="O72" s="40">
        <f t="shared" si="8"/>
        <v>7.6792108623853217E-3</v>
      </c>
      <c r="Q72" s="40">
        <f t="shared" si="9"/>
        <v>1.09952190622598</v>
      </c>
      <c r="R72" s="40">
        <f t="shared" si="10"/>
        <v>1.5707455803228287</v>
      </c>
      <c r="S72" s="40">
        <f t="shared" si="11"/>
        <v>2.0419692544196772</v>
      </c>
      <c r="U72" s="40">
        <f t="shared" si="14"/>
        <v>3.7526344922388395E-3</v>
      </c>
      <c r="V72" s="40">
        <f t="shared" si="12"/>
        <v>5.3609064174840572E-3</v>
      </c>
      <c r="W72" s="40">
        <f t="shared" si="13"/>
        <v>6.9691783427292741E-3</v>
      </c>
      <c r="Z72" s="1"/>
      <c r="AA72" s="1"/>
      <c r="AB72" s="1"/>
    </row>
    <row r="73" spans="2:28" x14ac:dyDescent="0.25">
      <c r="B73" s="26" t="s">
        <v>23</v>
      </c>
      <c r="C73" s="26" t="s">
        <v>42</v>
      </c>
      <c r="D73" s="26" t="s">
        <v>22</v>
      </c>
      <c r="E73" s="49">
        <v>4</v>
      </c>
      <c r="F73" s="27">
        <v>2332.3603200000002</v>
      </c>
      <c r="G73" s="27">
        <v>2855.5065599999998</v>
      </c>
      <c r="H73" s="27">
        <v>3411.34944</v>
      </c>
      <c r="I73" s="27">
        <v>1192.0650000000001</v>
      </c>
      <c r="J73" s="27">
        <v>1464.537</v>
      </c>
      <c r="K73" s="27">
        <v>1743.8208</v>
      </c>
      <c r="M73" s="40">
        <f t="shared" si="6"/>
        <v>4.279560220183487E-2</v>
      </c>
      <c r="N73" s="40">
        <f t="shared" si="7"/>
        <v>5.2394615779816509E-2</v>
      </c>
      <c r="O73" s="40">
        <f t="shared" si="8"/>
        <v>6.2593567706422021E-2</v>
      </c>
      <c r="Q73" s="40">
        <f t="shared" si="9"/>
        <v>11.45335318985396</v>
      </c>
      <c r="R73" s="40">
        <f t="shared" si="10"/>
        <v>14.071262490392007</v>
      </c>
      <c r="S73" s="40">
        <f t="shared" si="11"/>
        <v>16.754619523443505</v>
      </c>
      <c r="U73" s="40">
        <f t="shared" ref="U73:W74" si="17">Q73/293</f>
        <v>3.9089942627487918E-2</v>
      </c>
      <c r="V73" s="40">
        <f t="shared" si="17"/>
        <v>4.8024786656628009E-2</v>
      </c>
      <c r="W73" s="40">
        <f t="shared" si="17"/>
        <v>5.7183001786496608E-2</v>
      </c>
      <c r="Z73" s="1"/>
      <c r="AA73" s="1"/>
      <c r="AB73" s="1"/>
    </row>
    <row r="74" spans="2:28" x14ac:dyDescent="0.25">
      <c r="B74" s="28" t="s">
        <v>11</v>
      </c>
      <c r="C74" s="28" t="s">
        <v>43</v>
      </c>
      <c r="D74" s="28" t="s">
        <v>22</v>
      </c>
      <c r="E74" s="41">
        <v>4</v>
      </c>
      <c r="F74" s="29">
        <v>316.06752</v>
      </c>
      <c r="G74" s="29">
        <v>446.85408000000001</v>
      </c>
      <c r="H74" s="29">
        <v>628.04795999999999</v>
      </c>
      <c r="I74" s="29">
        <v>163.48320000000001</v>
      </c>
      <c r="J74" s="29">
        <v>224.7894</v>
      </c>
      <c r="K74" s="29">
        <v>320.15460000000002</v>
      </c>
      <c r="M74" s="40">
        <f t="shared" si="6"/>
        <v>5.7994040366972479E-3</v>
      </c>
      <c r="N74" s="40">
        <f t="shared" si="7"/>
        <v>8.19915743119266E-3</v>
      </c>
      <c r="O74" s="40">
        <f t="shared" si="8"/>
        <v>1.1523815779816511E-2</v>
      </c>
      <c r="Q74" s="40">
        <f t="shared" si="9"/>
        <v>1.5707455803228287</v>
      </c>
      <c r="R74" s="40">
        <f t="shared" si="10"/>
        <v>2.1597751729438892</v>
      </c>
      <c r="S74" s="40">
        <f t="shared" si="11"/>
        <v>3.0760434281322064</v>
      </c>
      <c r="U74" s="40">
        <f t="shared" si="17"/>
        <v>5.3609064174840572E-3</v>
      </c>
      <c r="V74" s="40">
        <f t="shared" si="17"/>
        <v>7.3712463240405779E-3</v>
      </c>
      <c r="W74" s="40">
        <f t="shared" si="17"/>
        <v>1.0498441734239613E-2</v>
      </c>
      <c r="Z74" s="1"/>
      <c r="AA74" s="1"/>
      <c r="AB74" s="1"/>
    </row>
    <row r="75" spans="2:28" x14ac:dyDescent="0.25">
      <c r="B75" s="26" t="s">
        <v>21</v>
      </c>
      <c r="C75" s="26" t="s">
        <v>44</v>
      </c>
      <c r="D75" s="26" t="s">
        <v>22</v>
      </c>
      <c r="E75" s="49">
        <v>4</v>
      </c>
      <c r="F75" s="27">
        <v>2393.6665200000002</v>
      </c>
      <c r="G75" s="27">
        <v>2888.2031999999999</v>
      </c>
      <c r="H75" s="27">
        <v>3403.1752799999999</v>
      </c>
      <c r="I75" s="27">
        <v>1192.0650000000001</v>
      </c>
      <c r="J75" s="27">
        <v>1437.2898</v>
      </c>
      <c r="K75" s="27">
        <v>1696.1382000000001</v>
      </c>
      <c r="M75" s="40">
        <f t="shared" si="6"/>
        <v>4.3920486605504586E-2</v>
      </c>
      <c r="N75" s="40">
        <f t="shared" si="7"/>
        <v>5.2994554128440362E-2</v>
      </c>
      <c r="O75" s="40">
        <f t="shared" si="8"/>
        <v>6.2443583119266052E-2</v>
      </c>
      <c r="Q75" s="40">
        <f t="shared" si="9"/>
        <v>11.45335318985396</v>
      </c>
      <c r="R75" s="40">
        <f t="shared" si="10"/>
        <v>13.809471560338203</v>
      </c>
      <c r="S75" s="40">
        <f t="shared" si="11"/>
        <v>16.296485395849349</v>
      </c>
      <c r="U75" s="40">
        <f t="shared" si="14"/>
        <v>3.9089942627487918E-2</v>
      </c>
      <c r="V75" s="40">
        <f t="shared" si="12"/>
        <v>4.7131302253714001E-2</v>
      </c>
      <c r="W75" s="40">
        <f t="shared" si="13"/>
        <v>5.5619404081397095E-2</v>
      </c>
      <c r="Z75" s="1"/>
      <c r="AA75" s="1"/>
      <c r="AB75" s="1"/>
    </row>
    <row r="76" spans="2:28" x14ac:dyDescent="0.25">
      <c r="B76" s="28" t="s">
        <v>11</v>
      </c>
      <c r="C76" s="28" t="s">
        <v>45</v>
      </c>
      <c r="D76" s="28" t="s">
        <v>22</v>
      </c>
      <c r="E76" s="41">
        <v>4</v>
      </c>
      <c r="F76" s="29">
        <v>167.57028</v>
      </c>
      <c r="G76" s="29">
        <v>228.87648000000002</v>
      </c>
      <c r="H76" s="29">
        <v>331.05347999999998</v>
      </c>
      <c r="I76" s="29">
        <v>95.365200000000002</v>
      </c>
      <c r="J76" s="29">
        <v>136.23599999999999</v>
      </c>
      <c r="K76" s="29">
        <v>204.35400000000001</v>
      </c>
      <c r="M76" s="40">
        <f t="shared" si="6"/>
        <v>3.0746840366972479E-3</v>
      </c>
      <c r="N76" s="40">
        <f t="shared" si="7"/>
        <v>4.1995684403669728E-3</v>
      </c>
      <c r="O76" s="40">
        <f t="shared" si="8"/>
        <v>6.0743757798165134E-3</v>
      </c>
      <c r="Q76" s="40">
        <f t="shared" si="9"/>
        <v>0.91626825518831678</v>
      </c>
      <c r="R76" s="40">
        <f t="shared" si="10"/>
        <v>1.3089546502690235</v>
      </c>
      <c r="S76" s="40">
        <f t="shared" si="11"/>
        <v>1.9634319754035359</v>
      </c>
      <c r="U76" s="40">
        <f t="shared" si="14"/>
        <v>3.1271954101990333E-3</v>
      </c>
      <c r="V76" s="40">
        <f t="shared" si="12"/>
        <v>4.4674220145700461E-3</v>
      </c>
      <c r="W76" s="40">
        <f t="shared" si="13"/>
        <v>6.7011330218550713E-3</v>
      </c>
      <c r="Z76" s="1"/>
      <c r="AA76" s="1"/>
      <c r="AB76" s="1"/>
    </row>
    <row r="77" spans="2:28" x14ac:dyDescent="0.25">
      <c r="B77" s="26" t="s">
        <v>24</v>
      </c>
      <c r="C77" s="51">
        <v>7</v>
      </c>
      <c r="D77" s="26" t="s">
        <v>25</v>
      </c>
      <c r="E77" s="49">
        <v>4</v>
      </c>
      <c r="F77" s="27">
        <v>1813.30116</v>
      </c>
      <c r="G77" s="27">
        <v>2419.5513599999999</v>
      </c>
      <c r="H77" s="27">
        <v>2964.4953599999999</v>
      </c>
      <c r="I77" s="27">
        <v>899.1576</v>
      </c>
      <c r="J77" s="27">
        <v>1158.0060000000001</v>
      </c>
      <c r="K77" s="27">
        <v>1416.8543999999999</v>
      </c>
      <c r="M77" s="40">
        <f t="shared" si="6"/>
        <v>3.3271580917431189E-2</v>
      </c>
      <c r="N77" s="40">
        <f t="shared" si="7"/>
        <v>4.4395437798165134E-2</v>
      </c>
      <c r="O77" s="40">
        <f t="shared" si="8"/>
        <v>5.4394410275229343E-2</v>
      </c>
      <c r="Q77" s="40">
        <f t="shared" si="9"/>
        <v>8.6391006917755568</v>
      </c>
      <c r="R77" s="40">
        <f t="shared" si="10"/>
        <v>11.126114527286703</v>
      </c>
      <c r="S77" s="40">
        <f t="shared" si="11"/>
        <v>13.613128362797848</v>
      </c>
      <c r="U77" s="40">
        <f t="shared" si="14"/>
        <v>2.9484985296162312E-2</v>
      </c>
      <c r="V77" s="40">
        <f t="shared" si="12"/>
        <v>3.7973087123845402E-2</v>
      </c>
      <c r="W77" s="40">
        <f t="shared" si="13"/>
        <v>4.6461188951528495E-2</v>
      </c>
      <c r="Z77" s="1"/>
      <c r="AA77" s="1"/>
      <c r="AB77" s="1"/>
    </row>
    <row r="78" spans="2:28" x14ac:dyDescent="0.25">
      <c r="B78" s="28" t="s">
        <v>11</v>
      </c>
      <c r="C78" s="28" t="s">
        <v>46</v>
      </c>
      <c r="D78" s="28" t="s">
        <v>25</v>
      </c>
      <c r="E78" s="41">
        <v>4</v>
      </c>
      <c r="F78" s="29">
        <v>261.57312000000002</v>
      </c>
      <c r="G78" s="29">
        <v>337.86527999999998</v>
      </c>
      <c r="H78" s="29">
        <v>523.14624000000003</v>
      </c>
      <c r="I78" s="29">
        <v>136.23599999999999</v>
      </c>
      <c r="J78" s="29">
        <v>170.29500000000002</v>
      </c>
      <c r="K78" s="29">
        <v>258.84840000000003</v>
      </c>
      <c r="M78" s="42">
        <f t="shared" si="6"/>
        <v>4.7995067889908261E-3</v>
      </c>
      <c r="N78" s="42">
        <f t="shared" si="7"/>
        <v>6.1993629357798164E-3</v>
      </c>
      <c r="O78" s="42">
        <f t="shared" si="8"/>
        <v>9.5990135779816521E-3</v>
      </c>
      <c r="Q78" s="40">
        <f t="shared" si="9"/>
        <v>1.3089546502690235</v>
      </c>
      <c r="R78" s="40">
        <f t="shared" si="10"/>
        <v>1.6361933128362802</v>
      </c>
      <c r="S78" s="40">
        <f t="shared" si="11"/>
        <v>2.4870138355111457</v>
      </c>
      <c r="U78" s="40">
        <f t="shared" si="14"/>
        <v>4.4674220145700461E-3</v>
      </c>
      <c r="V78" s="40">
        <f t="shared" si="12"/>
        <v>5.5842775182125609E-3</v>
      </c>
      <c r="W78" s="40">
        <f t="shared" si="13"/>
        <v>8.4881018276830918E-3</v>
      </c>
      <c r="Z78" s="1"/>
      <c r="AA78" s="1"/>
      <c r="AB78" s="1"/>
    </row>
    <row r="79" spans="2:28" ht="30.6" customHeight="1" x14ac:dyDescent="0.25">
      <c r="B79" s="5" t="s">
        <v>51</v>
      </c>
      <c r="D79" s="30"/>
      <c r="E79" s="30"/>
      <c r="F79" s="43" t="s">
        <v>53</v>
      </c>
      <c r="G79" s="6"/>
      <c r="H79" s="6"/>
      <c r="I79" s="44" t="s">
        <v>54</v>
      </c>
      <c r="J79" s="7"/>
      <c r="K79" s="7"/>
    </row>
    <row r="80" spans="2:28" x14ac:dyDescent="0.25">
      <c r="B80" s="5" t="s">
        <v>52</v>
      </c>
      <c r="D80" s="30"/>
      <c r="E80" s="30"/>
      <c r="F80" s="30"/>
      <c r="G80" s="6"/>
      <c r="H80" s="6"/>
      <c r="I80" s="31"/>
      <c r="J80" s="7"/>
      <c r="K80" s="7"/>
    </row>
  </sheetData>
  <mergeCells count="27">
    <mergeCell ref="M19:O19"/>
    <mergeCell ref="U19:W19"/>
    <mergeCell ref="Q19:S19"/>
    <mergeCell ref="U49:W49"/>
    <mergeCell ref="U51:W51"/>
    <mergeCell ref="M50:O50"/>
    <mergeCell ref="Q50:S50"/>
    <mergeCell ref="U50:W50"/>
    <mergeCell ref="M51:O51"/>
    <mergeCell ref="U21:W21"/>
    <mergeCell ref="U20:W20"/>
    <mergeCell ref="B21:B22"/>
    <mergeCell ref="C21:C22"/>
    <mergeCell ref="Q51:S51"/>
    <mergeCell ref="F49:K49"/>
    <mergeCell ref="M49:O49"/>
    <mergeCell ref="Q49:S49"/>
    <mergeCell ref="B51:B52"/>
    <mergeCell ref="C51:C52"/>
    <mergeCell ref="D51:D52"/>
    <mergeCell ref="E50:E52"/>
    <mergeCell ref="D21:D22"/>
    <mergeCell ref="M21:O21"/>
    <mergeCell ref="Q21:S21"/>
    <mergeCell ref="E20:E22"/>
    <mergeCell ref="M20:O20"/>
    <mergeCell ref="Q20:S20"/>
  </mergeCells>
  <hyperlinks>
    <hyperlink ref="B79" r:id="rId1" xr:uid="{AEE4C5D9-BD6F-4F59-BB4D-5A631FE5598B}"/>
    <hyperlink ref="B80" r:id="rId2" xr:uid="{2E9DE3EC-0816-4A10-B137-473D3FD33A06}"/>
  </hyperlinks>
  <pageMargins left="0.7" right="0.7" top="0.75" bottom="0.75" header="0.3" footer="0.3"/>
  <pageSetup orientation="portrait" horizontalDpi="90" verticalDpi="90" r:id="rId3"/>
</worksheet>
</file>

<file path=docMetadata/LabelInfo.xml><?xml version="1.0" encoding="utf-8"?>
<clbl:labelList xmlns:clbl="http://schemas.microsoft.com/office/2020/mipLabelMetadata">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Summary</vt:lpstr>
      <vt:lpstr>EV Calculator</vt:lpstr>
      <vt:lpstr>Pool Energy Use Calculator</vt:lpstr>
      <vt:lpstr>ap-HourlyResults</vt:lpstr>
      <vt:lpstr>pump assumptions &amp; calcs</vt:lpstr>
      <vt:lpstr>htg assumptions &amp; calcs</vt:lpstr>
      <vt:lpstr>heater_efficiency</vt:lpstr>
      <vt:lpstr>Monthsperyear</vt:lpstr>
      <vt:lpstr>poolcover</vt:lpstr>
      <vt:lpstr>turnovers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Gail Hampsmire</dc:creator>
  <cp:lastModifiedBy>Aaron Kwon</cp:lastModifiedBy>
  <dcterms:created xsi:type="dcterms:W3CDTF">2021-03-24T14:23:25Z</dcterms:created>
  <dcterms:modified xsi:type="dcterms:W3CDTF">2025-05-29T20:09:44Z</dcterms:modified>
</cp:coreProperties>
</file>