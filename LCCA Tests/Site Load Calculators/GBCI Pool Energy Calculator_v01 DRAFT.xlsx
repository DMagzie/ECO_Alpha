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khartel\Documents\LEED for Homes\Guidance Docs\"/>
    </mc:Choice>
  </mc:AlternateContent>
  <xr:revisionPtr revIDLastSave="0" documentId="8_{7EF870D3-0D02-41F9-A300-E72B07086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ol Energy Use Calculator" sheetId="5" r:id="rId1"/>
    <sheet name="pump assumptions &amp; calcs" sheetId="3" state="hidden" r:id="rId2"/>
    <sheet name="htg assumptions &amp; calcs" sheetId="2" state="hidden" r:id="rId3"/>
  </sheets>
  <definedNames>
    <definedName name="heater_efficiency">'Pool Energy Use Calculator'!$C$32</definedName>
    <definedName name="Monthsperyear">'pump assumptions &amp; calcs'!$C$34</definedName>
    <definedName name="poolcover">'Pool Energy Use Calculator'!$C$28</definedName>
    <definedName name="turnovers">'pump assumptions &amp; calcs'!$C$40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5" l="1"/>
  <c r="F27" i="5"/>
  <c r="F42" i="5"/>
  <c r="G27" i="5"/>
  <c r="D32" i="5" l="1"/>
  <c r="E39" i="3"/>
  <c r="E33" i="3"/>
  <c r="C33" i="3" s="1"/>
  <c r="C34" i="3" s="1"/>
  <c r="D17" i="5" s="1"/>
  <c r="C38" i="3"/>
  <c r="C32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C27" i="3"/>
  <c r="C28" i="3" s="1"/>
  <c r="C26" i="3"/>
  <c r="M53" i="2"/>
  <c r="N53" i="2"/>
  <c r="O53" i="2"/>
  <c r="Q53" i="2"/>
  <c r="R53" i="2"/>
  <c r="S53" i="2"/>
  <c r="M54" i="2"/>
  <c r="N54" i="2"/>
  <c r="O54" i="2"/>
  <c r="Q54" i="2"/>
  <c r="R54" i="2"/>
  <c r="S54" i="2"/>
  <c r="M55" i="2"/>
  <c r="N55" i="2"/>
  <c r="O55" i="2"/>
  <c r="Q55" i="2"/>
  <c r="R55" i="2"/>
  <c r="S55" i="2"/>
  <c r="M56" i="2"/>
  <c r="N56" i="2"/>
  <c r="O56" i="2"/>
  <c r="Q56" i="2"/>
  <c r="R56" i="2"/>
  <c r="S56" i="2"/>
  <c r="M57" i="2"/>
  <c r="N57" i="2"/>
  <c r="O57" i="2"/>
  <c r="Q57" i="2"/>
  <c r="R57" i="2"/>
  <c r="S57" i="2"/>
  <c r="M58" i="2"/>
  <c r="N58" i="2"/>
  <c r="O58" i="2"/>
  <c r="Q58" i="2"/>
  <c r="R58" i="2"/>
  <c r="S58" i="2"/>
  <c r="M59" i="2"/>
  <c r="N59" i="2"/>
  <c r="O59" i="2"/>
  <c r="Q59" i="2"/>
  <c r="R59" i="2"/>
  <c r="S59" i="2"/>
  <c r="M60" i="2"/>
  <c r="N60" i="2"/>
  <c r="O60" i="2"/>
  <c r="Q60" i="2"/>
  <c r="R60" i="2"/>
  <c r="S60" i="2"/>
  <c r="M61" i="2"/>
  <c r="N61" i="2"/>
  <c r="O61" i="2"/>
  <c r="Q61" i="2"/>
  <c r="R61" i="2"/>
  <c r="S61" i="2"/>
  <c r="M62" i="2"/>
  <c r="N62" i="2"/>
  <c r="O62" i="2"/>
  <c r="Q62" i="2"/>
  <c r="R62" i="2"/>
  <c r="S62" i="2"/>
  <c r="M63" i="2"/>
  <c r="N63" i="2"/>
  <c r="O63" i="2"/>
  <c r="Q63" i="2"/>
  <c r="R63" i="2"/>
  <c r="S63" i="2"/>
  <c r="M64" i="2"/>
  <c r="N64" i="2"/>
  <c r="O64" i="2"/>
  <c r="Q64" i="2"/>
  <c r="R64" i="2"/>
  <c r="S64" i="2"/>
  <c r="M65" i="2"/>
  <c r="N65" i="2"/>
  <c r="O65" i="2"/>
  <c r="Q65" i="2"/>
  <c r="R65" i="2"/>
  <c r="S65" i="2"/>
  <c r="M66" i="2"/>
  <c r="N66" i="2"/>
  <c r="O66" i="2"/>
  <c r="Q66" i="2"/>
  <c r="R66" i="2"/>
  <c r="S66" i="2"/>
  <c r="M67" i="2"/>
  <c r="N67" i="2"/>
  <c r="O67" i="2"/>
  <c r="Q67" i="2"/>
  <c r="R67" i="2"/>
  <c r="S67" i="2"/>
  <c r="M68" i="2"/>
  <c r="N68" i="2"/>
  <c r="O68" i="2"/>
  <c r="Q68" i="2"/>
  <c r="R68" i="2"/>
  <c r="S68" i="2"/>
  <c r="M69" i="2"/>
  <c r="N69" i="2"/>
  <c r="O69" i="2"/>
  <c r="Q69" i="2"/>
  <c r="R69" i="2"/>
  <c r="S69" i="2"/>
  <c r="M70" i="2"/>
  <c r="N70" i="2"/>
  <c r="O70" i="2"/>
  <c r="Q70" i="2"/>
  <c r="R70" i="2"/>
  <c r="S70" i="2"/>
  <c r="M71" i="2"/>
  <c r="N71" i="2"/>
  <c r="O71" i="2"/>
  <c r="Q71" i="2"/>
  <c r="R71" i="2"/>
  <c r="S71" i="2"/>
  <c r="M72" i="2"/>
  <c r="N72" i="2"/>
  <c r="O72" i="2"/>
  <c r="Q72" i="2"/>
  <c r="R72" i="2"/>
  <c r="S72" i="2"/>
  <c r="M73" i="2"/>
  <c r="N73" i="2"/>
  <c r="O73" i="2"/>
  <c r="Q73" i="2"/>
  <c r="R73" i="2"/>
  <c r="S73" i="2"/>
  <c r="M74" i="2"/>
  <c r="N74" i="2"/>
  <c r="O74" i="2"/>
  <c r="Q74" i="2"/>
  <c r="R74" i="2"/>
  <c r="S74" i="2"/>
  <c r="M75" i="2"/>
  <c r="N75" i="2"/>
  <c r="O75" i="2"/>
  <c r="Q75" i="2"/>
  <c r="R75" i="2"/>
  <c r="S75" i="2"/>
  <c r="M76" i="2"/>
  <c r="N76" i="2"/>
  <c r="O76" i="2"/>
  <c r="Q76" i="2"/>
  <c r="R76" i="2"/>
  <c r="S76" i="2"/>
  <c r="M77" i="2"/>
  <c r="N77" i="2"/>
  <c r="O77" i="2"/>
  <c r="Q77" i="2"/>
  <c r="R77" i="2"/>
  <c r="S77" i="2"/>
  <c r="M78" i="2"/>
  <c r="N78" i="2"/>
  <c r="O78" i="2"/>
  <c r="Q78" i="2"/>
  <c r="R78" i="2"/>
  <c r="S78" i="2"/>
  <c r="C39" i="3" l="1"/>
  <c r="C40" i="3" s="1"/>
  <c r="D47" i="5" s="1"/>
  <c r="C29" i="3"/>
  <c r="E35" i="2" l="1"/>
  <c r="O31" i="2"/>
  <c r="U77" i="2"/>
  <c r="V77" i="2"/>
  <c r="W77" i="2"/>
  <c r="U78" i="2"/>
  <c r="V78" i="2"/>
  <c r="W78" i="2"/>
  <c r="S42" i="2"/>
  <c r="R42" i="2"/>
  <c r="Q42" i="2"/>
  <c r="R29" i="2"/>
  <c r="Q29" i="2"/>
  <c r="S41" i="2"/>
  <c r="W41" i="2" s="1"/>
  <c r="Q41" i="2"/>
  <c r="U41" i="2" s="1"/>
  <c r="R28" i="2"/>
  <c r="V28" i="2" s="1"/>
  <c r="Q28" i="2"/>
  <c r="U28" i="2" s="1"/>
  <c r="S40" i="2"/>
  <c r="W40" i="2" s="1"/>
  <c r="R40" i="2"/>
  <c r="V40" i="2" s="1"/>
  <c r="Q40" i="2"/>
  <c r="U40" i="2" s="1"/>
  <c r="S27" i="2"/>
  <c r="W27" i="2" s="1"/>
  <c r="R27" i="2"/>
  <c r="V27" i="2" s="1"/>
  <c r="Q27" i="2"/>
  <c r="U27" i="2" s="1"/>
  <c r="S39" i="2"/>
  <c r="W39" i="2" s="1"/>
  <c r="R39" i="2"/>
  <c r="V39" i="2" s="1"/>
  <c r="Q39" i="2"/>
  <c r="U39" i="2" s="1"/>
  <c r="S26" i="2"/>
  <c r="W26" i="2" s="1"/>
  <c r="R26" i="2"/>
  <c r="V26" i="2" s="1"/>
  <c r="Q26" i="2"/>
  <c r="U26" i="2" s="1"/>
  <c r="S38" i="2"/>
  <c r="W38" i="2" s="1"/>
  <c r="R25" i="2"/>
  <c r="V25" i="2" s="1"/>
  <c r="Q25" i="2"/>
  <c r="U25" i="2" s="1"/>
  <c r="S37" i="2"/>
  <c r="W37" i="2" s="1"/>
  <c r="R37" i="2"/>
  <c r="V37" i="2" s="1"/>
  <c r="Q37" i="2"/>
  <c r="U37" i="2" s="1"/>
  <c r="S24" i="2"/>
  <c r="W24" i="2" s="1"/>
  <c r="R24" i="2"/>
  <c r="V24" i="2" s="1"/>
  <c r="Q24" i="2"/>
  <c r="U24" i="2" s="1"/>
  <c r="S36" i="2"/>
  <c r="W36" i="2" s="1"/>
  <c r="R36" i="2"/>
  <c r="V36" i="2" s="1"/>
  <c r="Q36" i="2"/>
  <c r="U36" i="2" s="1"/>
  <c r="S23" i="2"/>
  <c r="W23" i="2" s="1"/>
  <c r="R23" i="2"/>
  <c r="V23" i="2" s="1"/>
  <c r="U53" i="2"/>
  <c r="R32" i="2" l="1"/>
  <c r="V29" i="2"/>
  <c r="V32" i="2" s="1"/>
  <c r="U42" i="2"/>
  <c r="U35" i="2" s="1"/>
  <c r="U34" i="2" s="1"/>
  <c r="Q35" i="2"/>
  <c r="V42" i="2"/>
  <c r="V35" i="2" s="1"/>
  <c r="R35" i="2"/>
  <c r="W42" i="2"/>
  <c r="S35" i="2"/>
  <c r="U29" i="2"/>
  <c r="Q32" i="2"/>
  <c r="W35" i="2"/>
  <c r="S28" i="2"/>
  <c r="W28" i="2" s="1"/>
  <c r="S25" i="2"/>
  <c r="W25" i="2" s="1"/>
  <c r="R38" i="2"/>
  <c r="V38" i="2" s="1"/>
  <c r="S29" i="2"/>
  <c r="Q38" i="2"/>
  <c r="U38" i="2" s="1"/>
  <c r="R41" i="2"/>
  <c r="V41" i="2" s="1"/>
  <c r="N41" i="2"/>
  <c r="O44" i="2"/>
  <c r="N27" i="2"/>
  <c r="N38" i="2"/>
  <c r="R44" i="2"/>
  <c r="V44" i="2" s="1"/>
  <c r="N24" i="2"/>
  <c r="S44" i="2"/>
  <c r="W44" i="2" s="1"/>
  <c r="N31" i="2"/>
  <c r="O41" i="2"/>
  <c r="O27" i="2"/>
  <c r="O38" i="2"/>
  <c r="O24" i="2"/>
  <c r="S31" i="2"/>
  <c r="W31" i="2" s="1"/>
  <c r="O42" i="2"/>
  <c r="O28" i="2"/>
  <c r="O39" i="2"/>
  <c r="O25" i="2"/>
  <c r="O36" i="2"/>
  <c r="R31" i="2"/>
  <c r="V31" i="2" s="1"/>
  <c r="N42" i="2"/>
  <c r="N28" i="2"/>
  <c r="N39" i="2"/>
  <c r="N25" i="2"/>
  <c r="N36" i="2"/>
  <c r="N44" i="2"/>
  <c r="O29" i="2"/>
  <c r="O30" i="2" s="1"/>
  <c r="O40" i="2"/>
  <c r="O26" i="2"/>
  <c r="O37" i="2"/>
  <c r="O23" i="2"/>
  <c r="N29" i="2"/>
  <c r="N40" i="2"/>
  <c r="N26" i="2"/>
  <c r="N37" i="2"/>
  <c r="N23" i="2"/>
  <c r="M29" i="2"/>
  <c r="M31" i="2"/>
  <c r="Q31" i="2"/>
  <c r="U31" i="2" s="1"/>
  <c r="M38" i="2"/>
  <c r="M39" i="2"/>
  <c r="M42" i="2"/>
  <c r="M44" i="2"/>
  <c r="Q44" i="2"/>
  <c r="U44" i="2" s="1"/>
  <c r="M40" i="2"/>
  <c r="M41" i="2"/>
  <c r="M25" i="2"/>
  <c r="M26" i="2"/>
  <c r="M27" i="2"/>
  <c r="M28" i="2"/>
  <c r="M23" i="2"/>
  <c r="M24" i="2"/>
  <c r="Q23" i="2"/>
  <c r="M36" i="2"/>
  <c r="M37" i="2"/>
  <c r="N30" i="2" l="1"/>
  <c r="M35" i="2"/>
  <c r="M34" i="2" s="1"/>
  <c r="S32" i="2"/>
  <c r="W29" i="2"/>
  <c r="W32" i="2" s="1"/>
  <c r="S30" i="2"/>
  <c r="W30" i="2" s="1"/>
  <c r="U32" i="2"/>
  <c r="U33" i="2" s="1"/>
  <c r="Q33" i="2" s="1"/>
  <c r="U23" i="2"/>
  <c r="N32" i="2"/>
  <c r="M32" i="2"/>
  <c r="M33" i="2" s="1"/>
  <c r="O32" i="2"/>
  <c r="N35" i="2"/>
  <c r="O35" i="2"/>
  <c r="S43" i="2"/>
  <c r="W43" i="2" s="1"/>
  <c r="O43" i="2"/>
  <c r="N43" i="2"/>
  <c r="R43" i="2"/>
  <c r="V43" i="2" s="1"/>
  <c r="M30" i="2"/>
  <c r="R30" i="2"/>
  <c r="V30" i="2" s="1"/>
  <c r="Q30" i="2"/>
  <c r="U30" i="2" s="1"/>
  <c r="Q43" i="2"/>
  <c r="U43" i="2" s="1"/>
  <c r="M43" i="2"/>
  <c r="C4" i="2" l="1"/>
  <c r="C5" i="2" s="1"/>
  <c r="C6" i="2" s="1"/>
  <c r="C7" i="2" s="1"/>
  <c r="H27" i="5"/>
  <c r="W70" i="2"/>
  <c r="V70" i="2"/>
  <c r="U70" i="2"/>
  <c r="W69" i="2"/>
  <c r="V69" i="2"/>
  <c r="U69" i="2"/>
  <c r="W64" i="2"/>
  <c r="V64" i="2"/>
  <c r="U64" i="2"/>
  <c r="W63" i="2"/>
  <c r="V63" i="2"/>
  <c r="U63" i="2"/>
  <c r="W74" i="2"/>
  <c r="V74" i="2"/>
  <c r="U74" i="2"/>
  <c r="W73" i="2"/>
  <c r="V73" i="2"/>
  <c r="U73" i="2"/>
  <c r="W76" i="2"/>
  <c r="V76" i="2"/>
  <c r="U76" i="2"/>
  <c r="W75" i="2"/>
  <c r="V75" i="2"/>
  <c r="U75" i="2"/>
  <c r="W72" i="2"/>
  <c r="V72" i="2"/>
  <c r="U72" i="2"/>
  <c r="W71" i="2"/>
  <c r="V71" i="2"/>
  <c r="U71" i="2"/>
  <c r="W68" i="2"/>
  <c r="V68" i="2"/>
  <c r="U68" i="2"/>
  <c r="W67" i="2"/>
  <c r="V67" i="2"/>
  <c r="U67" i="2"/>
  <c r="W66" i="2"/>
  <c r="V66" i="2"/>
  <c r="U66" i="2"/>
  <c r="W65" i="2"/>
  <c r="V65" i="2"/>
  <c r="U65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C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 King</author>
  </authors>
  <commentList>
    <comment ref="B47" authorId="0" shapeId="0" xr:uid="{2795FD15-8BF4-4B1D-B318-6A01A91AFAF8}">
      <text>
        <r>
          <rPr>
            <b/>
            <sz val="9"/>
            <color indexed="81"/>
            <rFont val="Tahoma"/>
            <family val="2"/>
          </rPr>
          <t xml:space="preserve">"turnover" refers to the number of times per day the pump will circulate the full amount of water in the pool.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<sst xmlns="http://schemas.openxmlformats.org/spreadsheetml/2006/main" count="360" uniqueCount="203">
  <si>
    <t>LOCATION</t>
  </si>
  <si>
    <t>SEASON</t>
  </si>
  <si>
    <t>TEMPERATURE</t>
  </si>
  <si>
    <t>78°</t>
  </si>
  <si>
    <t>80°</t>
  </si>
  <si>
    <t>82°</t>
  </si>
  <si>
    <t>MIAMI</t>
  </si>
  <si>
    <t>1/1–12/31</t>
  </si>
  <si>
    <t>W/COVER</t>
  </si>
  <si>
    <t>PHOENIX</t>
  </si>
  <si>
    <t>3/1–10/31</t>
  </si>
  <si>
    <t>W/ COVER</t>
  </si>
  <si>
    <t>DALLAS</t>
  </si>
  <si>
    <t>4/1–10/31</t>
  </si>
  <si>
    <t>ATLANTA</t>
  </si>
  <si>
    <t>LOS ANGELES</t>
  </si>
  <si>
    <t>5/1–10/31</t>
  </si>
  <si>
    <t>KANSAS CITY</t>
  </si>
  <si>
    <t>NEW YORK</t>
  </si>
  <si>
    <t>5/1–9/30</t>
  </si>
  <si>
    <t>CHICAGO</t>
  </si>
  <si>
    <t>DENVER</t>
  </si>
  <si>
    <t>5/1–8/31</t>
  </si>
  <si>
    <t>BOSTON</t>
  </si>
  <si>
    <t>MINNEAPOLIS</t>
  </si>
  <si>
    <t>6/1–9/30</t>
  </si>
  <si>
    <t>SAN FRANCISCO</t>
  </si>
  <si>
    <t>6/1–8/31</t>
  </si>
  <si>
    <t>SEATTLE</t>
  </si>
  <si>
    <t>CLIMATE ZONE</t>
  </si>
  <si>
    <t>1A</t>
  </si>
  <si>
    <t>1A W/COVER</t>
  </si>
  <si>
    <t>2B</t>
  </si>
  <si>
    <t>2B W/COVER</t>
  </si>
  <si>
    <t>3A</t>
  </si>
  <si>
    <t>3A W/COVER</t>
  </si>
  <si>
    <t>3B</t>
  </si>
  <si>
    <t>3B W/COVER</t>
  </si>
  <si>
    <t>4A</t>
  </si>
  <si>
    <t>4A W/COVER</t>
  </si>
  <si>
    <t>GAS OR PROPANE</t>
  </si>
  <si>
    <t>HEAT PUMP</t>
  </si>
  <si>
    <t>5A</t>
  </si>
  <si>
    <t>5A W/COVER</t>
  </si>
  <si>
    <t>5B</t>
  </si>
  <si>
    <t>5B W/COVER</t>
  </si>
  <si>
    <t>7 W/COVER</t>
  </si>
  <si>
    <t>3C</t>
  </si>
  <si>
    <t>3C W/COVER</t>
  </si>
  <si>
    <t>4C</t>
  </si>
  <si>
    <t>4C W/COVER</t>
  </si>
  <si>
    <t>https://www.energy.gov/energysaver/heat-pump-swimming-pool-heaters</t>
  </si>
  <si>
    <t>https://www.energy.gov/energysaver/gas-swimming-pool-heaters</t>
  </si>
  <si>
    <t>*Figures based on a 1,000 square-foot, outdoor pool heated with an 80% efficient natural gas heater at $1.09 per therm and uncovered for 8 hours per day.</t>
  </si>
  <si>
    <t>*Figures based on a 1,000 square foot, outdoor pool heated with an air to water heat pump with an average COP of 5.0 at $0.1301/kwh.</t>
  </si>
  <si>
    <t>ENERGY COSTS</t>
  </si>
  <si>
    <t>ENERGY USE</t>
  </si>
  <si>
    <t>POOL HEATING ENERGY USE</t>
  </si>
  <si>
    <t>POOL PUMP ENERGY USE</t>
  </si>
  <si>
    <t>Months</t>
  </si>
  <si>
    <t>(MBTU/sqft/month) @ 100%</t>
  </si>
  <si>
    <t>(kWh/sqft/month) @ 1 COP</t>
  </si>
  <si>
    <t>(MBTU/sqft/month) @ 1 COP</t>
  </si>
  <si>
    <t>COVER?</t>
  </si>
  <si>
    <t>no cover</t>
  </si>
  <si>
    <t>cover</t>
  </si>
  <si>
    <t>Typical Months</t>
  </si>
  <si>
    <t>Notes</t>
  </si>
  <si>
    <t>avg Dallas &amp; Atlanta</t>
  </si>
  <si>
    <t>use Los Angeles data - San Francisco is not typical</t>
  </si>
  <si>
    <t>avg Kansas City, New York, Seattle</t>
  </si>
  <si>
    <t>avg Chicago, Denver, Boston</t>
  </si>
  <si>
    <t>avg CZ 5 and CZ 7 (no data)</t>
  </si>
  <si>
    <t>RAW DATA from DOE</t>
  </si>
  <si>
    <t>DATA USED IN CALCULATIONS (based on DOE)</t>
  </si>
  <si>
    <t>not sure (use default)</t>
  </si>
  <si>
    <t>LOOKUP W/ COVER --&gt;</t>
  </si>
  <si>
    <t>LOOKUP W/ NO COVER --&gt;</t>
  </si>
  <si>
    <t>&lt;== LOOKUP DEFAULT # OF MONTHS</t>
  </si>
  <si>
    <t>MBTU/year load</t>
  </si>
  <si>
    <t>MBTU/year energy use (w/ eff)</t>
  </si>
  <si>
    <t>ENERGY STAR?</t>
  </si>
  <si>
    <t>PROJECT DETAILS</t>
  </si>
  <si>
    <t>kWh/year</t>
  </si>
  <si>
    <t>Nameplate Horsepower</t>
  </si>
  <si>
    <t>Curve C - Energy Factor (Gal/Wh)</t>
  </si>
  <si>
    <t>Curve C - Flow (GPM)</t>
  </si>
  <si>
    <t>Single-speed or variable speed?</t>
  </si>
  <si>
    <t>Conventional (single speed) pump</t>
  </si>
  <si>
    <t>Variable-speed pump</t>
  </si>
  <si>
    <t>Nameplate Horsepower at High Speed</t>
  </si>
  <si>
    <t>1.65 hhp (3 HP)</t>
  </si>
  <si>
    <t>1.25 hhp (2.5 HP)</t>
  </si>
  <si>
    <t>1.18 hhp (2 HP)</t>
  </si>
  <si>
    <t>0.95 hhp (1.65 HP)</t>
  </si>
  <si>
    <t>0.72 hhp (1-1.4 HP)</t>
  </si>
  <si>
    <t>Curve C - Weighted Energy Factor (Gal/Wh)</t>
  </si>
  <si>
    <t>Curve C - High Flow (GPM)</t>
  </si>
  <si>
    <t>Curve C - Low Energy Factor (Gal/Wh)</t>
  </si>
  <si>
    <t>Curve C - Low Flow (GPM)</t>
  </si>
  <si>
    <t>Source: ENERGY STAR Pool Pump Calculator (https://www.energystar.gov/productfinder/downloads/Pool_Pump_Calculator_2020.05.05_FINAL.xlsx)</t>
  </si>
  <si>
    <t>pump type:</t>
  </si>
  <si>
    <t>single-speed</t>
  </si>
  <si>
    <t>No</t>
  </si>
  <si>
    <t xml:space="preserve"> (gallons/Wh)</t>
  </si>
  <si>
    <t>variable-speed</t>
  </si>
  <si>
    <t>pump type (dropdown menu)</t>
  </si>
  <si>
    <t>Nameplate HP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</si>
  <si>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</si>
  <si>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</si>
  <si>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</si>
  <si>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</si>
  <si>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</si>
  <si>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</si>
  <si>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</si>
  <si>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</si>
  <si>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</si>
  <si>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</si>
  <si>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</si>
  <si>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</si>
  <si>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</si>
  <si>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</si>
  <si>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</si>
  <si>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</si>
  <si>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</si>
  <si>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</si>
  <si>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</si>
  <si>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</si>
  <si>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</si>
  <si>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</si>
  <si>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</si>
  <si>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</si>
  <si>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</si>
  <si>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</si>
  <si>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</si>
  <si>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</si>
  <si>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</si>
  <si>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</si>
  <si>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</si>
  <si>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</si>
  <si>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</si>
  <si>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</si>
  <si>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</si>
  <si>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</si>
  <si>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</si>
  <si>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</si>
  <si>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</si>
  <si>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</si>
  <si>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</si>
  <si>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</si>
  <si>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</si>
  <si>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</si>
  <si>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</si>
  <si>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</si>
  <si>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</si>
  <si>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</si>
  <si>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</si>
  <si>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</si>
  <si>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</si>
  <si>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Warm</t>
  </si>
  <si>
    <t>Cool</t>
  </si>
  <si>
    <t>State</t>
  </si>
  <si>
    <t>Climate</t>
  </si>
  <si>
    <t>Use (months/yr)</t>
  </si>
  <si>
    <t>Turnovers 
per day</t>
  </si>
  <si>
    <t>user input:</t>
  </si>
  <si>
    <t>Calculated Pool Energy Use (back-end)</t>
  </si>
  <si>
    <t>MBTU/sqft/month:</t>
  </si>
  <si>
    <t>MBTU/month:</t>
  </si>
  <si>
    <t>for</t>
  </si>
  <si>
    <t>default</t>
  </si>
  <si>
    <t>Estimated pool use (months/year)</t>
  </si>
  <si>
    <t>estimated use (mo/yr):</t>
  </si>
  <si>
    <t>Pump energy factor (kgallons/kWh)</t>
  </si>
  <si>
    <t>pump energy factor:</t>
  </si>
  <si>
    <t>Pump Turnover</t>
  </si>
  <si>
    <t xml:space="preserve">default </t>
  </si>
  <si>
    <t>estimated turnover:</t>
  </si>
  <si>
    <t>Pool heater efficiency:</t>
  </si>
  <si>
    <t xml:space="preserve">Project location: </t>
  </si>
  <si>
    <t>Project climate zone:</t>
  </si>
  <si>
    <t>Gas / Propane</t>
  </si>
  <si>
    <t>Expected setpoint:</t>
  </si>
  <si>
    <t>Is a pool cover installed?</t>
  </si>
  <si>
    <t>Type of pool heater:</t>
  </si>
  <si>
    <t>Pool volume (gallons):</t>
  </si>
  <si>
    <t>Pool surface area (sqft):</t>
  </si>
  <si>
    <t xml:space="preserve">Expected pool use (months/yr): </t>
  </si>
  <si>
    <t>kWh/yr energy use</t>
  </si>
  <si>
    <t>Estimated Pool Heating Energy Use:</t>
  </si>
  <si>
    <t>Estimated Pool Pump Energy Use:</t>
  </si>
  <si>
    <t>Turnovers per day?</t>
  </si>
  <si>
    <t xml:space="preserve"> https://www.energystar.gov/productfinder/product/certified-pool-pumps/results</t>
  </si>
  <si>
    <t>Pump nameplate HP</t>
  </si>
  <si>
    <t>Is the pump ENERGY STAR labeled?</t>
  </si>
  <si>
    <t>The energy factor is calculated automatically based on the characteristics of the pump, but it can be over-written by the user.</t>
  </si>
  <si>
    <t xml:space="preserve"> If an ENERGY STAR pump is installed, the product-specific energy factor can be found here:</t>
  </si>
  <si>
    <t>Pool Energy Use Calculator for LEED for Homes Single-family Projects</t>
  </si>
  <si>
    <t>This calculator is only designed to assist LEED for Homes projects with estimating pool heating and pump energy use for the purposes of EA Annual Energy Use, and is not</t>
  </si>
  <si>
    <t>intended to be used as a prediction for project teams or manufacturers.</t>
  </si>
  <si>
    <t>Published by GBCI, December, 2023</t>
  </si>
  <si>
    <t>*Note that this calculator is currently in draft format. Projects may email homestechnical@gbci.org to request project-specific approval to use this calculator</t>
  </si>
  <si>
    <t xml:space="preserve"> in advance of formal approval of the calculator. When this calculator is finalized, projects are expected to use the final published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</si>
</sst>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0.00000"/>
    <numFmt numFmtId="168" formatCode="0.0000"/>
    <numFmt numFmtId="169" formatCode="_(* #,##0.0_);_(* \(#,##0.0\);_(* &quot;-&quot;?_);_(@_)"/>
    <numFmt numFmtId="170" formatCode="#,##0.00000_);[Red]\(#,##0.00000\)"/>
    <numFmt numFmtId="171" formatCode="#,##0.0"/>
    <numFmt numFmtId="172" formatCode="#,##0.00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2929"/>
      <name val="Calibri"/>
      <family val="2"/>
      <scheme val="minor"/>
    </font>
    <font>
      <i/>
      <sz val="11"/>
      <color rgb="FF29292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rgb="FF292929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rgb="FF292929"/>
      <name val="Calibri"/>
      <family val="2"/>
      <scheme val="minor"/>
    </font>
    <font>
      <i/>
      <sz val="9"/>
      <color rgb="FF29292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</cellStyleXfs>
  <cellXfs count="177">
    <xf numFmtId="0" fontId="0" fillId="0" borderId="0" xfId="0"/>
    <xf numFmtId="9" fontId="0" fillId="0" borderId="0" xfId="3" applyFont="1"/>
    <xf numFmtId="165" fontId="0" fillId="0" borderId="0" xfId="3" applyNumberFormat="1" applyFont="1"/>
    <xf numFmtId="0" fontId="3" fillId="0" borderId="0" xfId="0" applyFont="1"/>
    <xf numFmtId="0" fontId="0" fillId="0" borderId="13" xfId="0" applyBorder="1"/>
    <xf numFmtId="0" fontId="2" fillId="0" borderId="0" xfId="2"/>
    <xf numFmtId="0" fontId="0" fillId="0" borderId="0" xfId="0" applyAlignment="1">
      <alignment horizontal="centerContinuous"/>
    </xf>
    <xf numFmtId="0" fontId="0" fillId="0" borderId="0" xfId="0" applyAlignment="1">
      <alignment horizontal="centerContinuous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5" xfId="0" applyBorder="1"/>
    <xf numFmtId="0" fontId="0" fillId="5" borderId="5" xfId="0" applyFill="1" applyBorder="1"/>
    <xf numFmtId="0" fontId="0" fillId="5" borderId="0" xfId="0" applyFill="1"/>
    <xf numFmtId="0" fontId="0" fillId="5" borderId="6" xfId="0" applyFill="1" applyBorder="1"/>
    <xf numFmtId="0" fontId="0" fillId="5" borderId="5" xfId="0" applyFill="1" applyBorder="1" applyAlignment="1">
      <alignment horizontal="right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vertical="center" wrapText="1"/>
    </xf>
    <xf numFmtId="6" fontId="4" fillId="3" borderId="13" xfId="0" applyNumberFormat="1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6" fontId="4" fillId="2" borderId="15" xfId="0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Continuous" vertical="center" wrapText="1"/>
    </xf>
    <xf numFmtId="0" fontId="6" fillId="0" borderId="0" xfId="0" applyFont="1" applyAlignment="1">
      <alignment horizontal="centerContinuous" wrapText="1"/>
    </xf>
    <xf numFmtId="0" fontId="4" fillId="5" borderId="5" xfId="0" applyFont="1" applyFill="1" applyBorder="1" applyAlignment="1">
      <alignment horizontal="right" vertical="center" wrapText="1"/>
    </xf>
    <xf numFmtId="164" fontId="0" fillId="4" borderId="1" xfId="1" applyNumberFormat="1" applyFont="1" applyFill="1" applyBorder="1" applyAlignment="1">
      <alignment vertical="center"/>
    </xf>
    <xf numFmtId="164" fontId="0" fillId="5" borderId="0" xfId="1" applyNumberFormat="1" applyFont="1" applyFill="1" applyBorder="1"/>
    <xf numFmtId="0" fontId="0" fillId="5" borderId="0" xfId="0" applyFill="1" applyAlignment="1">
      <alignment horizontal="left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40" fontId="4" fillId="3" borderId="13" xfId="0" applyNumberFormat="1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40" fontId="4" fillId="3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Continuous" vertical="center" wrapText="1"/>
    </xf>
    <xf numFmtId="0" fontId="8" fillId="0" borderId="0" xfId="0" applyFont="1" applyAlignment="1">
      <alignment horizontal="centerContinuous" wrapText="1"/>
    </xf>
    <xf numFmtId="43" fontId="0" fillId="4" borderId="1" xfId="1" applyFont="1" applyFill="1" applyBorder="1" applyAlignment="1">
      <alignment vertical="center"/>
    </xf>
    <xf numFmtId="169" fontId="0" fillId="4" borderId="1" xfId="1" applyNumberFormat="1" applyFont="1" applyFill="1" applyBorder="1" applyAlignment="1">
      <alignment vertical="center"/>
    </xf>
    <xf numFmtId="0" fontId="0" fillId="0" borderId="20" xfId="0" applyBorder="1"/>
    <xf numFmtId="0" fontId="0" fillId="0" borderId="23" xfId="0" applyBorder="1"/>
    <xf numFmtId="0" fontId="4" fillId="3" borderId="13" xfId="0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left" vertical="center" wrapText="1"/>
    </xf>
    <xf numFmtId="0" fontId="11" fillId="0" borderId="0" xfId="0" applyFont="1"/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170" fontId="4" fillId="3" borderId="13" xfId="0" applyNumberFormat="1" applyFont="1" applyFill="1" applyBorder="1" applyAlignment="1">
      <alignment vertical="center" wrapText="1"/>
    </xf>
    <xf numFmtId="170" fontId="4" fillId="3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right"/>
    </xf>
    <xf numFmtId="170" fontId="4" fillId="6" borderId="13" xfId="0" applyNumberFormat="1" applyFont="1" applyFill="1" applyBorder="1" applyAlignment="1">
      <alignment vertical="center" wrapText="1"/>
    </xf>
    <xf numFmtId="170" fontId="4" fillId="6" borderId="1" xfId="0" applyNumberFormat="1" applyFont="1" applyFill="1" applyBorder="1" applyAlignment="1">
      <alignment vertical="center" wrapText="1"/>
    </xf>
    <xf numFmtId="0" fontId="0" fillId="6" borderId="0" xfId="0" applyFill="1" applyAlignment="1">
      <alignment horizontal="center"/>
    </xf>
    <xf numFmtId="167" fontId="0" fillId="6" borderId="0" xfId="0" applyNumberFormat="1" applyFill="1"/>
    <xf numFmtId="0" fontId="3" fillId="5" borderId="0" xfId="0" applyFont="1" applyFill="1"/>
    <xf numFmtId="0" fontId="12" fillId="5" borderId="5" xfId="0" applyFont="1" applyFill="1" applyBorder="1" applyAlignment="1">
      <alignment horizontal="right" vertical="center" wrapText="1"/>
    </xf>
    <xf numFmtId="0" fontId="12" fillId="5" borderId="5" xfId="0" applyFont="1" applyFill="1" applyBorder="1" applyAlignment="1">
      <alignment horizontal="right"/>
    </xf>
    <xf numFmtId="0" fontId="12" fillId="5" borderId="0" xfId="0" applyFont="1" applyFill="1"/>
    <xf numFmtId="164" fontId="3" fillId="8" borderId="24" xfId="0" applyNumberFormat="1" applyFont="1" applyFill="1" applyBorder="1"/>
    <xf numFmtId="0" fontId="0" fillId="0" borderId="7" xfId="0" applyBorder="1"/>
    <xf numFmtId="0" fontId="14" fillId="5" borderId="1" xfId="5" applyFont="1" applyFill="1" applyBorder="1" applyAlignment="1">
      <alignment horizontal="center" vertical="center"/>
    </xf>
    <xf numFmtId="171" fontId="15" fillId="5" borderId="1" xfId="5" applyNumberFormat="1" applyFont="1" applyFill="1" applyBorder="1" applyAlignment="1">
      <alignment horizontal="center" vertical="center"/>
    </xf>
    <xf numFmtId="1" fontId="15" fillId="5" borderId="1" xfId="5" applyNumberFormat="1" applyFont="1" applyFill="1" applyBorder="1" applyAlignment="1">
      <alignment horizontal="center" vertical="center"/>
    </xf>
    <xf numFmtId="0" fontId="14" fillId="9" borderId="1" xfId="5" applyFont="1" applyFill="1" applyBorder="1" applyAlignment="1">
      <alignment horizontal="center" vertical="center"/>
    </xf>
    <xf numFmtId="171" fontId="15" fillId="10" borderId="1" xfId="5" applyNumberFormat="1" applyFont="1" applyFill="1" applyBorder="1" applyAlignment="1">
      <alignment horizontal="center" vertical="center"/>
    </xf>
    <xf numFmtId="171" fontId="15" fillId="6" borderId="1" xfId="5" applyNumberFormat="1" applyFont="1" applyFill="1" applyBorder="1" applyAlignment="1">
      <alignment horizontal="center" vertical="center"/>
    </xf>
    <xf numFmtId="0" fontId="6" fillId="0" borderId="0" xfId="0" applyFont="1"/>
    <xf numFmtId="0" fontId="18" fillId="5" borderId="21" xfId="5" applyFont="1" applyFill="1" applyBorder="1" applyAlignment="1">
      <alignment horizontal="center" vertical="center"/>
    </xf>
    <xf numFmtId="0" fontId="18" fillId="5" borderId="23" xfId="5" applyFont="1" applyFill="1" applyBorder="1" applyAlignment="1">
      <alignment horizontal="center" vertical="center"/>
    </xf>
    <xf numFmtId="169" fontId="0" fillId="4" borderId="1" xfId="1" applyNumberFormat="1" applyFont="1" applyFill="1" applyBorder="1" applyAlignment="1">
      <alignment horizontal="right" vertical="center"/>
    </xf>
    <xf numFmtId="0" fontId="0" fillId="5" borderId="17" xfId="0" applyFill="1" applyBorder="1"/>
    <xf numFmtId="0" fontId="0" fillId="5" borderId="19" xfId="0" applyFill="1" applyBorder="1"/>
    <xf numFmtId="0" fontId="0" fillId="5" borderId="16" xfId="0" applyFill="1" applyBorder="1"/>
    <xf numFmtId="0" fontId="0" fillId="5" borderId="20" xfId="0" applyFill="1" applyBorder="1"/>
    <xf numFmtId="0" fontId="0" fillId="5" borderId="22" xfId="0" applyFill="1" applyBorder="1"/>
    <xf numFmtId="0" fontId="0" fillId="5" borderId="23" xfId="0" applyFill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2" fontId="0" fillId="0" borderId="8" xfId="0" applyNumberFormat="1" applyBorder="1"/>
    <xf numFmtId="0" fontId="0" fillId="0" borderId="9" xfId="0" applyBorder="1"/>
    <xf numFmtId="0" fontId="14" fillId="5" borderId="2" xfId="4" applyFont="1" applyFill="1" applyBorder="1" applyAlignment="1">
      <alignment vertical="center"/>
    </xf>
    <xf numFmtId="0" fontId="14" fillId="5" borderId="3" xfId="4" applyFont="1" applyFill="1" applyBorder="1" applyAlignment="1">
      <alignment vertical="center"/>
    </xf>
    <xf numFmtId="0" fontId="15" fillId="5" borderId="3" xfId="5" applyFont="1" applyFill="1" applyBorder="1" applyAlignment="1">
      <alignment vertical="center"/>
    </xf>
    <xf numFmtId="0" fontId="15" fillId="5" borderId="4" xfId="4" applyFont="1" applyFill="1" applyBorder="1" applyAlignment="1" applyProtection="1">
      <alignment vertical="center"/>
      <protection locked="0"/>
    </xf>
    <xf numFmtId="0" fontId="17" fillId="5" borderId="6" xfId="4" applyFont="1" applyFill="1" applyBorder="1"/>
    <xf numFmtId="0" fontId="14" fillId="5" borderId="5" xfId="4" applyFont="1" applyFill="1" applyBorder="1" applyAlignment="1">
      <alignment vertical="center"/>
    </xf>
    <xf numFmtId="0" fontId="14" fillId="5" borderId="0" xfId="4" applyFont="1" applyFill="1" applyAlignment="1">
      <alignment vertical="center"/>
    </xf>
    <xf numFmtId="0" fontId="15" fillId="5" borderId="0" xfId="5" applyFont="1" applyFill="1" applyAlignment="1">
      <alignment vertical="center"/>
    </xf>
    <xf numFmtId="0" fontId="15" fillId="5" borderId="6" xfId="4" applyFont="1" applyFill="1" applyBorder="1" applyAlignment="1" applyProtection="1">
      <alignment vertical="center"/>
      <protection locked="0"/>
    </xf>
    <xf numFmtId="0" fontId="17" fillId="5" borderId="0" xfId="4" applyFont="1" applyFill="1"/>
    <xf numFmtId="0" fontId="15" fillId="5" borderId="6" xfId="4" applyFont="1" applyFill="1" applyBorder="1" applyAlignment="1">
      <alignment vertical="center"/>
    </xf>
    <xf numFmtId="0" fontId="18" fillId="5" borderId="26" xfId="5" applyFont="1" applyFill="1" applyBorder="1" applyAlignment="1">
      <alignment horizontal="center" vertical="center"/>
    </xf>
    <xf numFmtId="171" fontId="15" fillId="6" borderId="31" xfId="5" applyNumberFormat="1" applyFont="1" applyFill="1" applyBorder="1" applyAlignment="1">
      <alignment horizontal="center" vertical="center"/>
    </xf>
    <xf numFmtId="0" fontId="15" fillId="5" borderId="9" xfId="4" applyFont="1" applyFill="1" applyBorder="1" applyAlignment="1">
      <alignment vertical="center"/>
    </xf>
    <xf numFmtId="0" fontId="13" fillId="5" borderId="5" xfId="4" applyFill="1" applyBorder="1" applyAlignment="1">
      <alignment horizontal="left" vertical="center" wrapText="1" indent="1"/>
    </xf>
    <xf numFmtId="0" fontId="13" fillId="5" borderId="0" xfId="4" applyFill="1" applyAlignment="1">
      <alignment horizontal="center" vertical="center"/>
    </xf>
    <xf numFmtId="0" fontId="13" fillId="5" borderId="7" xfId="4" applyFill="1" applyBorder="1" applyAlignment="1">
      <alignment horizontal="left" vertical="center" wrapText="1" indent="1"/>
    </xf>
    <xf numFmtId="0" fontId="13" fillId="5" borderId="8" xfId="4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0" fillId="0" borderId="8" xfId="0" applyBorder="1"/>
    <xf numFmtId="0" fontId="19" fillId="5" borderId="0" xfId="0" applyFont="1" applyFill="1" applyAlignment="1">
      <alignment horizontal="left"/>
    </xf>
    <xf numFmtId="169" fontId="12" fillId="4" borderId="1" xfId="1" applyNumberFormat="1" applyFont="1" applyFill="1" applyBorder="1" applyAlignment="1">
      <alignment horizontal="right" vertical="center"/>
    </xf>
    <xf numFmtId="0" fontId="6" fillId="5" borderId="0" xfId="0" applyFont="1" applyFill="1"/>
    <xf numFmtId="0" fontId="4" fillId="11" borderId="5" xfId="0" applyFont="1" applyFill="1" applyBorder="1" applyAlignment="1">
      <alignment horizontal="right" vertical="center" wrapText="1"/>
    </xf>
    <xf numFmtId="168" fontId="0" fillId="0" borderId="0" xfId="0" applyNumberFormat="1"/>
    <xf numFmtId="0" fontId="11" fillId="0" borderId="0" xfId="0" applyFont="1" applyAlignment="1">
      <alignment vertical="top"/>
    </xf>
    <xf numFmtId="172" fontId="0" fillId="0" borderId="18" xfId="0" applyNumberFormat="1" applyBorder="1"/>
    <xf numFmtId="4" fontId="0" fillId="0" borderId="0" xfId="0" applyNumberFormat="1"/>
    <xf numFmtId="171" fontId="0" fillId="0" borderId="0" xfId="0" applyNumberFormat="1"/>
    <xf numFmtId="3" fontId="0" fillId="0" borderId="0" xfId="0" applyNumberFormat="1"/>
    <xf numFmtId="0" fontId="0" fillId="0" borderId="22" xfId="0" applyBorder="1"/>
    <xf numFmtId="0" fontId="0" fillId="0" borderId="21" xfId="0" applyBorder="1"/>
    <xf numFmtId="166" fontId="6" fillId="5" borderId="0" xfId="0" applyNumberFormat="1" applyFont="1" applyFill="1" applyAlignment="1">
      <alignment horizontal="right"/>
    </xf>
    <xf numFmtId="0" fontId="20" fillId="5" borderId="0" xfId="0" applyFont="1" applyFill="1" applyAlignment="1">
      <alignment horizontal="left" indent="1"/>
    </xf>
    <xf numFmtId="0" fontId="21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24" fillId="0" borderId="0" xfId="0" applyFont="1"/>
    <xf numFmtId="0" fontId="25" fillId="0" borderId="0" xfId="0" applyFont="1" applyAlignment="1">
      <alignment horizontal="left"/>
    </xf>
    <xf numFmtId="0" fontId="15" fillId="5" borderId="27" xfId="5" applyFont="1" applyFill="1" applyBorder="1" applyAlignment="1">
      <alignment horizontal="left" vertical="center"/>
    </xf>
    <xf numFmtId="0" fontId="15" fillId="5" borderId="11" xfId="5" applyFont="1" applyFill="1" applyBorder="1" applyAlignment="1">
      <alignment horizontal="left" vertical="center"/>
    </xf>
    <xf numFmtId="0" fontId="15" fillId="5" borderId="12" xfId="5" applyFont="1" applyFill="1" applyBorder="1" applyAlignment="1">
      <alignment horizontal="left" vertical="center"/>
    </xf>
    <xf numFmtId="0" fontId="15" fillId="5" borderId="28" xfId="5" applyFont="1" applyFill="1" applyBorder="1" applyAlignment="1">
      <alignment horizontal="left" vertical="center"/>
    </xf>
    <xf numFmtId="0" fontId="15" fillId="5" borderId="29" xfId="5" applyFont="1" applyFill="1" applyBorder="1" applyAlignment="1">
      <alignment horizontal="left" vertical="center"/>
    </xf>
    <xf numFmtId="0" fontId="15" fillId="5" borderId="30" xfId="5" applyFont="1" applyFill="1" applyBorder="1" applyAlignment="1">
      <alignment horizontal="left" vertical="center"/>
    </xf>
    <xf numFmtId="0" fontId="14" fillId="5" borderId="10" xfId="5" applyFont="1" applyFill="1" applyBorder="1" applyAlignment="1">
      <alignment horizontal="center" vertical="center"/>
    </xf>
    <xf numFmtId="0" fontId="14" fillId="5" borderId="11" xfId="5" applyFont="1" applyFill="1" applyBorder="1" applyAlignment="1">
      <alignment horizontal="center" vertical="center"/>
    </xf>
    <xf numFmtId="0" fontId="14" fillId="5" borderId="12" xfId="5" applyFont="1" applyFill="1" applyBorder="1" applyAlignment="1">
      <alignment horizontal="center" vertical="center"/>
    </xf>
    <xf numFmtId="0" fontId="16" fillId="5" borderId="25" xfId="4" applyFont="1" applyFill="1" applyBorder="1" applyAlignment="1">
      <alignment horizontal="center" vertical="center"/>
    </xf>
    <xf numFmtId="0" fontId="16" fillId="5" borderId="18" xfId="4" applyFont="1" applyFill="1" applyBorder="1" applyAlignment="1">
      <alignment horizontal="center" vertical="center"/>
    </xf>
    <xf numFmtId="0" fontId="16" fillId="5" borderId="19" xfId="4" applyFont="1" applyFill="1" applyBorder="1" applyAlignment="1">
      <alignment horizontal="center" vertical="center"/>
    </xf>
    <xf numFmtId="0" fontId="16" fillId="5" borderId="26" xfId="4" applyFont="1" applyFill="1" applyBorder="1" applyAlignment="1">
      <alignment horizontal="center" vertical="center"/>
    </xf>
    <xf numFmtId="0" fontId="16" fillId="5" borderId="21" xfId="4" applyFont="1" applyFill="1" applyBorder="1" applyAlignment="1">
      <alignment horizontal="center" vertical="center"/>
    </xf>
    <xf numFmtId="0" fontId="16" fillId="5" borderId="23" xfId="4" applyFont="1" applyFill="1" applyBorder="1" applyAlignment="1">
      <alignment horizontal="center" vertical="center"/>
    </xf>
    <xf numFmtId="0" fontId="18" fillId="5" borderId="25" xfId="5" applyFont="1" applyFill="1" applyBorder="1" applyAlignment="1">
      <alignment horizontal="center" vertical="center"/>
    </xf>
    <xf numFmtId="0" fontId="18" fillId="5" borderId="18" xfId="5" applyFont="1" applyFill="1" applyBorder="1" applyAlignment="1">
      <alignment horizontal="center" vertical="center"/>
    </xf>
    <xf numFmtId="0" fontId="18" fillId="5" borderId="19" xfId="5" applyFont="1" applyFill="1" applyBorder="1" applyAlignment="1">
      <alignment horizontal="center" vertical="center"/>
    </xf>
    <xf numFmtId="0" fontId="18" fillId="5" borderId="26" xfId="5" applyFont="1" applyFill="1" applyBorder="1" applyAlignment="1">
      <alignment horizontal="center" vertical="center"/>
    </xf>
    <xf numFmtId="0" fontId="18" fillId="5" borderId="21" xfId="5" applyFont="1" applyFill="1" applyBorder="1" applyAlignment="1">
      <alignment horizontal="center" vertical="center"/>
    </xf>
    <xf numFmtId="0" fontId="18" fillId="5" borderId="23" xfId="5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2" borderId="2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6">
    <cellStyle name="Comma" xfId="1" builtinId="3"/>
    <cellStyle name="Hyperlink" xfId="2" builtinId="8"/>
    <cellStyle name="Normal" xfId="0" builtinId="0"/>
    <cellStyle name="Normal 2" xfId="5" xr:uid="{113CC41B-EA0E-4320-97C8-DD1D21D874B3}"/>
    <cellStyle name="Normal 3" xfId="4" xr:uid="{BCE7C7CA-81B1-4B8F-AD30-0A89376D1C6A}"/>
    <cellStyle name="Percent" xfId="3" builtinId="5"/>
  </cellStyles>
  <dxfs count="2">
    <dxf>
      <numFmt numFmtId="13" formatCode="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nergy.gov/energysaver/gas-swimming-pool-heaters" TargetMode="External"/><Relationship Id="rId1" Type="http://schemas.openxmlformats.org/officeDocument/2006/relationships/hyperlink" Target="https://www.energy.gov/energysaver/heat-pump-swimming-pool-hea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B5FE-9695-482D-AAEF-F545BAC3BC0D}">
  <dimension ref="B2:J56"/>
  <sheetViews>
    <sheetView showGridLines="0" tabSelected="1" zoomScale="85" zoomScaleNormal="85" workbookViewId="0">
      <selection activeCell="L4" sqref="L4"/>
    </sheetView>
  </sheetViews>
  <sheetFormatPr defaultRowHeight="15"/>
  <cols>
    <col min="1" max="1" width="5.28515625" customWidth="1"/>
    <col min="2" max="2" width="39.7109375" customWidth="1"/>
    <col min="3" max="3" width="33.42578125" customWidth="1"/>
    <col min="4" max="4" width="23.85546875" customWidth="1"/>
    <col min="5" max="5" width="11.42578125" customWidth="1"/>
    <col min="6" max="9" width="13" customWidth="1"/>
    <col min="10" max="10" width="19" customWidth="1"/>
    <col min="11" max="11" width="4.7109375" customWidth="1"/>
    <col min="12" max="14" width="11.140625" customWidth="1"/>
    <col min="15" max="15" width="9.7109375" customWidth="1"/>
    <col min="16" max="18" width="10.85546875" customWidth="1"/>
    <col min="19" max="21" width="11.28515625" customWidth="1"/>
    <col min="22" max="22" width="9.7109375" bestFit="1" customWidth="1"/>
    <col min="25" max="28" width="15.28515625" customWidth="1"/>
  </cols>
  <sheetData>
    <row r="2" spans="2:10" ht="21">
      <c r="B2" s="134" t="s">
        <v>197</v>
      </c>
    </row>
    <row r="3" spans="2:10">
      <c r="B3" s="135" t="s">
        <v>198</v>
      </c>
      <c r="C3" s="135"/>
      <c r="D3" s="135"/>
      <c r="E3" s="135"/>
      <c r="F3" s="135"/>
      <c r="G3" s="135"/>
      <c r="H3" s="135"/>
      <c r="I3" s="135"/>
      <c r="J3" s="135"/>
    </row>
    <row r="4" spans="2:10">
      <c r="B4" s="135" t="s">
        <v>199</v>
      </c>
      <c r="C4" s="135"/>
      <c r="D4" s="135"/>
      <c r="E4" s="135"/>
      <c r="F4" s="135"/>
      <c r="G4" s="135"/>
      <c r="H4" s="135"/>
      <c r="I4" s="135"/>
      <c r="J4" s="135"/>
    </row>
    <row r="5" spans="2:10">
      <c r="B5" t="s">
        <v>201</v>
      </c>
    </row>
    <row r="6" spans="2:10">
      <c r="B6" t="s">
        <v>202</v>
      </c>
    </row>
    <row r="7" spans="2:10" ht="19.5" thickBot="1">
      <c r="B7" s="52" t="s">
        <v>82</v>
      </c>
    </row>
    <row r="8" spans="2:10">
      <c r="B8" s="8"/>
      <c r="C8" s="9"/>
      <c r="D8" s="9"/>
      <c r="E8" s="9"/>
      <c r="F8" s="9"/>
      <c r="G8" s="9"/>
      <c r="H8" s="9"/>
      <c r="I8" s="9"/>
      <c r="J8" s="10"/>
    </row>
    <row r="9" spans="2:10">
      <c r="B9" s="67" t="s">
        <v>179</v>
      </c>
      <c r="C9" s="119"/>
      <c r="D9" s="69"/>
      <c r="E9" s="13"/>
      <c r="F9" s="13"/>
      <c r="G9" s="13"/>
      <c r="H9" s="13"/>
      <c r="I9" s="13"/>
      <c r="J9" s="14"/>
    </row>
    <row r="10" spans="2:10">
      <c r="B10" s="68"/>
      <c r="C10" s="69"/>
      <c r="D10" s="69"/>
      <c r="E10" s="13"/>
      <c r="F10" s="13"/>
      <c r="G10" s="13"/>
      <c r="H10" s="13"/>
      <c r="I10" s="13"/>
      <c r="J10" s="14"/>
    </row>
    <row r="11" spans="2:10">
      <c r="B11" s="32" t="s">
        <v>180</v>
      </c>
      <c r="C11" s="50"/>
      <c r="D11" s="69"/>
      <c r="E11" s="13"/>
      <c r="F11" s="13"/>
      <c r="G11" s="13"/>
      <c r="H11" s="13"/>
      <c r="I11" s="13"/>
      <c r="J11" s="14"/>
    </row>
    <row r="12" spans="2:10">
      <c r="B12" s="68"/>
      <c r="C12" s="69"/>
      <c r="D12" s="69"/>
      <c r="E12" s="13"/>
      <c r="F12" s="13"/>
      <c r="G12" s="13"/>
      <c r="H12" s="13"/>
      <c r="I12" s="13"/>
      <c r="J12" s="14"/>
    </row>
    <row r="13" spans="2:10">
      <c r="B13" s="32" t="s">
        <v>186</v>
      </c>
      <c r="C13" s="33"/>
      <c r="D13" s="13"/>
      <c r="E13" s="13"/>
      <c r="F13" s="13"/>
      <c r="G13" s="13"/>
      <c r="H13" s="13"/>
      <c r="I13" s="13"/>
      <c r="J13" s="14"/>
    </row>
    <row r="14" spans="2:10">
      <c r="B14" s="32"/>
      <c r="C14" s="34"/>
      <c r="D14" s="13"/>
      <c r="E14" s="13"/>
      <c r="F14" s="13"/>
      <c r="G14" s="13"/>
      <c r="H14" s="13"/>
      <c r="I14" s="13"/>
      <c r="J14" s="14"/>
    </row>
    <row r="15" spans="2:10">
      <c r="B15" s="32" t="s">
        <v>185</v>
      </c>
      <c r="C15" s="33"/>
      <c r="D15" s="13"/>
      <c r="E15" s="13"/>
      <c r="F15" s="13"/>
      <c r="G15" s="13"/>
      <c r="H15" s="13"/>
      <c r="I15" s="13"/>
      <c r="J15" s="14"/>
    </row>
    <row r="16" spans="2:10">
      <c r="B16" s="15"/>
      <c r="C16" s="35"/>
      <c r="D16" s="13"/>
      <c r="E16" s="13"/>
      <c r="F16" s="13"/>
      <c r="G16" s="13"/>
      <c r="H16" s="13"/>
      <c r="I16" s="13"/>
      <c r="J16" s="14"/>
    </row>
    <row r="17" spans="2:10">
      <c r="B17" s="67" t="s">
        <v>187</v>
      </c>
      <c r="C17" s="50" t="s">
        <v>75</v>
      </c>
      <c r="D17" s="118" t="str">
        <f>IF(C9="","",IF(C17="not sure (use default)"," default estimate for this location: "&amp;Monthsperyear&amp;" months/yr",""))</f>
        <v/>
      </c>
      <c r="E17" s="13"/>
      <c r="F17" s="13"/>
      <c r="G17" s="13"/>
      <c r="H17" s="13"/>
      <c r="I17" s="13"/>
      <c r="J17" s="14"/>
    </row>
    <row r="18" spans="2:10" ht="15.75" thickBot="1">
      <c r="B18" s="16"/>
      <c r="C18" s="17"/>
      <c r="D18" s="17"/>
      <c r="E18" s="17"/>
      <c r="F18" s="17"/>
      <c r="G18" s="17"/>
      <c r="H18" s="17"/>
      <c r="I18" s="17"/>
      <c r="J18" s="18"/>
    </row>
    <row r="23" spans="2:10" ht="19.5" thickBot="1">
      <c r="B23" s="52" t="s">
        <v>57</v>
      </c>
      <c r="E23" s="2"/>
      <c r="F23" s="2"/>
      <c r="G23" s="2"/>
      <c r="H23" s="1"/>
    </row>
    <row r="24" spans="2:10">
      <c r="B24" s="8"/>
      <c r="C24" s="9"/>
      <c r="D24" s="9"/>
      <c r="E24" s="9"/>
      <c r="F24" s="9"/>
      <c r="G24" s="9"/>
      <c r="H24" s="9"/>
      <c r="I24" s="9"/>
      <c r="J24" s="10"/>
    </row>
    <row r="25" spans="2:10">
      <c r="B25" s="12"/>
      <c r="C25" s="13"/>
      <c r="D25" s="13"/>
      <c r="E25" s="13"/>
      <c r="F25" s="66" t="s">
        <v>189</v>
      </c>
      <c r="G25" s="13"/>
      <c r="H25" s="13"/>
      <c r="I25" s="13"/>
      <c r="J25" s="14"/>
    </row>
    <row r="26" spans="2:10" ht="15.75" thickBot="1">
      <c r="B26" s="32" t="s">
        <v>184</v>
      </c>
      <c r="C26" s="50" t="s">
        <v>181</v>
      </c>
      <c r="D26" s="13"/>
      <c r="E26" s="13"/>
      <c r="F26" s="13"/>
      <c r="G26" s="13"/>
      <c r="H26" s="13"/>
      <c r="I26" s="13"/>
      <c r="J26" s="14"/>
    </row>
    <row r="27" spans="2:10" ht="15.75" thickBot="1">
      <c r="B27" s="32"/>
      <c r="C27" s="34"/>
      <c r="D27" s="13"/>
      <c r="E27" s="13"/>
      <c r="F27" s="70" t="str">
        <f>IF(C9="","",IF(C26="Gas / propane",ROUNDDOWN('htg assumptions &amp; calcs'!C7,-1),ROUNDDOWN('htg assumptions &amp; calcs'!C8,-2)))</f>
        <v/>
      </c>
      <c r="G27" s="66" t="str">
        <f>IF(C26="Gas / Propane","MBTU/year","kWh/year")</f>
        <v>MBTU/year</v>
      </c>
      <c r="H27" s="120" t="str">
        <f>IF(C26="Heat pump","("&amp;ROUNDDOWN('htg assumptions &amp; calcs'!C7,1)&amp;" MBTU/yr)","")</f>
        <v/>
      </c>
      <c r="I27" s="13"/>
      <c r="J27" s="14"/>
    </row>
    <row r="28" spans="2:10">
      <c r="B28" s="121" t="s">
        <v>183</v>
      </c>
      <c r="C28" s="50" t="s">
        <v>75</v>
      </c>
      <c r="D28" s="13"/>
      <c r="E28" s="13"/>
      <c r="F28" s="130"/>
      <c r="G28" s="120"/>
      <c r="H28" s="13"/>
      <c r="I28" s="13"/>
      <c r="J28" s="14"/>
    </row>
    <row r="29" spans="2:10">
      <c r="B29" s="32"/>
      <c r="C29" s="34"/>
      <c r="D29" s="13"/>
      <c r="E29" s="13"/>
      <c r="F29" s="13"/>
      <c r="G29" s="13"/>
      <c r="H29" s="13"/>
      <c r="I29" s="13"/>
      <c r="J29" s="14"/>
    </row>
    <row r="30" spans="2:10">
      <c r="B30" s="32" t="s">
        <v>182</v>
      </c>
      <c r="C30" s="50" t="s">
        <v>75</v>
      </c>
      <c r="D30" s="13"/>
      <c r="E30" s="13"/>
      <c r="F30" s="13"/>
      <c r="G30" s="13"/>
      <c r="H30" s="13"/>
      <c r="I30" s="13"/>
      <c r="J30" s="14"/>
    </row>
    <row r="31" spans="2:10">
      <c r="B31" s="32"/>
      <c r="C31" s="34"/>
      <c r="D31" s="13"/>
      <c r="E31" s="13"/>
      <c r="F31" s="13"/>
      <c r="G31" s="13"/>
      <c r="H31" s="13"/>
      <c r="I31" s="13"/>
      <c r="J31" s="14"/>
    </row>
    <row r="32" spans="2:10">
      <c r="B32" s="32" t="s">
        <v>178</v>
      </c>
      <c r="C32" s="45">
        <v>0.8</v>
      </c>
      <c r="D32" s="133" t="str">
        <f>IF(C26="Gas / Propane","Et (input as decimal)","COP")</f>
        <v>Et (input as decimal)</v>
      </c>
      <c r="E32" s="13"/>
      <c r="F32" s="13"/>
      <c r="G32" s="13"/>
      <c r="H32" s="13"/>
      <c r="I32" s="13"/>
      <c r="J32" s="14"/>
    </row>
    <row r="33" spans="2:10" ht="15.75" thickBot="1">
      <c r="B33" s="16"/>
      <c r="C33" s="17"/>
      <c r="D33" s="17"/>
      <c r="E33" s="17"/>
      <c r="F33" s="17"/>
      <c r="G33" s="17"/>
      <c r="H33" s="17"/>
      <c r="I33" s="17"/>
      <c r="J33" s="18"/>
    </row>
    <row r="38" spans="2:10" ht="19.5" thickBot="1">
      <c r="B38" s="52" t="s">
        <v>58</v>
      </c>
    </row>
    <row r="39" spans="2:10">
      <c r="B39" s="8"/>
      <c r="C39" s="9"/>
      <c r="D39" s="9"/>
      <c r="E39" s="9"/>
      <c r="F39" s="9"/>
      <c r="G39" s="9"/>
      <c r="H39" s="9"/>
      <c r="I39" s="9"/>
      <c r="J39" s="10"/>
    </row>
    <row r="40" spans="2:10">
      <c r="B40" s="12"/>
      <c r="C40" s="13"/>
      <c r="D40" s="13"/>
      <c r="E40" s="13"/>
      <c r="F40" s="66" t="s">
        <v>190</v>
      </c>
      <c r="G40" s="13"/>
      <c r="H40" s="13"/>
      <c r="I40" s="13"/>
      <c r="J40" s="14"/>
    </row>
    <row r="41" spans="2:10" ht="15.75" thickBot="1">
      <c r="B41" s="32" t="s">
        <v>193</v>
      </c>
      <c r="C41" s="46"/>
      <c r="D41" s="13"/>
      <c r="E41" s="13"/>
      <c r="F41" s="13"/>
      <c r="G41" s="13"/>
      <c r="H41" s="13"/>
      <c r="I41" s="13"/>
      <c r="J41" s="14"/>
    </row>
    <row r="42" spans="2:10" ht="15.75" thickBot="1">
      <c r="B42" s="15"/>
      <c r="C42" s="35"/>
      <c r="D42" s="13"/>
      <c r="E42" s="13"/>
      <c r="F42" s="70" t="str">
        <f>IF(C9="","",ROUNDDOWN(C15*'pump assumptions &amp; calcs'!C40/(C49*1000)*(30.4*Monthsperyear),-2))</f>
        <v/>
      </c>
      <c r="G42" s="66" t="s">
        <v>83</v>
      </c>
      <c r="H42" s="13"/>
      <c r="I42" s="13"/>
      <c r="J42" s="14"/>
    </row>
    <row r="43" spans="2:10">
      <c r="B43" s="32" t="s">
        <v>194</v>
      </c>
      <c r="C43" s="81" t="s">
        <v>103</v>
      </c>
      <c r="D43" s="13"/>
      <c r="E43" s="13"/>
      <c r="F43" s="13"/>
      <c r="G43" s="13"/>
      <c r="H43" s="13"/>
      <c r="I43" s="13"/>
      <c r="J43" s="14"/>
    </row>
    <row r="44" spans="2:10">
      <c r="B44" s="15"/>
      <c r="C44" s="13"/>
      <c r="D44" s="13"/>
      <c r="E44" s="13"/>
      <c r="F44" s="13"/>
      <c r="G44" s="13"/>
      <c r="H44" s="13"/>
      <c r="I44" s="13"/>
      <c r="J44" s="14"/>
    </row>
    <row r="45" spans="2:10">
      <c r="B45" s="32" t="s">
        <v>87</v>
      </c>
      <c r="C45" s="81" t="s">
        <v>75</v>
      </c>
      <c r="D45" s="13"/>
      <c r="E45" s="13"/>
      <c r="F45" s="13"/>
      <c r="G45" s="13"/>
      <c r="H45" s="13"/>
      <c r="I45" s="13"/>
      <c r="J45" s="14"/>
    </row>
    <row r="46" spans="2:10">
      <c r="B46" s="15"/>
      <c r="C46" s="13"/>
      <c r="D46" s="13"/>
      <c r="E46" s="13"/>
      <c r="F46" s="13"/>
      <c r="G46" s="13"/>
      <c r="H46" s="13"/>
      <c r="I46" s="13"/>
      <c r="J46" s="14"/>
    </row>
    <row r="47" spans="2:10">
      <c r="B47" s="32" t="s">
        <v>191</v>
      </c>
      <c r="C47" s="81" t="s">
        <v>75</v>
      </c>
      <c r="D47" s="131" t="str">
        <f>IF(C9="","",IF(C47="not sure (use default)"," default estimate for this location: "&amp;turnovers&amp;" turnovers/day",""))</f>
        <v/>
      </c>
      <c r="E47" s="13"/>
      <c r="F47" s="13"/>
      <c r="G47" s="13"/>
      <c r="H47" s="13"/>
      <c r="I47" s="13"/>
      <c r="J47" s="14"/>
    </row>
    <row r="48" spans="2:10">
      <c r="B48" s="15"/>
      <c r="C48" s="13"/>
      <c r="D48" s="13"/>
      <c r="E48" s="13"/>
      <c r="F48" s="13"/>
      <c r="G48" s="13"/>
      <c r="H48" s="13"/>
      <c r="I48" s="13"/>
      <c r="J48" s="14"/>
    </row>
    <row r="49" spans="2:10">
      <c r="B49" s="32" t="s">
        <v>173</v>
      </c>
      <c r="C49" s="46" t="str">
        <f>IF(C41="","",'pump assumptions &amp; calcs'!C29)</f>
        <v/>
      </c>
      <c r="D49" s="131" t="s">
        <v>195</v>
      </c>
      <c r="E49" s="13"/>
      <c r="F49" s="13"/>
      <c r="G49" s="13"/>
      <c r="H49" s="13"/>
      <c r="I49" s="13"/>
      <c r="J49" s="14"/>
    </row>
    <row r="50" spans="2:10">
      <c r="B50" s="15"/>
      <c r="C50" s="13"/>
      <c r="D50" s="132" t="s">
        <v>196</v>
      </c>
      <c r="E50" s="13"/>
      <c r="F50" s="13"/>
      <c r="G50" s="13"/>
      <c r="H50" s="13"/>
      <c r="I50" s="13"/>
      <c r="J50" s="14"/>
    </row>
    <row r="51" spans="2:10">
      <c r="B51" s="15"/>
      <c r="C51" s="13"/>
      <c r="D51" s="132" t="s">
        <v>192</v>
      </c>
      <c r="E51" s="13"/>
      <c r="F51" s="13"/>
      <c r="G51" s="13"/>
      <c r="H51" s="13"/>
      <c r="I51" s="13"/>
      <c r="J51" s="14"/>
    </row>
    <row r="52" spans="2:10" ht="15.75" thickBot="1">
      <c r="B52" s="16"/>
      <c r="C52" s="17"/>
      <c r="D52" s="17"/>
      <c r="E52" s="17"/>
      <c r="F52" s="17"/>
      <c r="G52" s="17"/>
      <c r="H52" s="17"/>
      <c r="I52" s="17"/>
      <c r="J52" s="18"/>
    </row>
    <row r="56" spans="2:10">
      <c r="B56" s="135" t="s">
        <v>200</v>
      </c>
      <c r="C56" s="135"/>
      <c r="D56" s="135"/>
      <c r="E56" s="135"/>
      <c r="F56" s="135"/>
      <c r="G56" s="135"/>
      <c r="H56" s="135"/>
      <c r="I56" s="135"/>
      <c r="J56" s="135"/>
    </row>
  </sheetData>
  <mergeCells count="3">
    <mergeCell ref="B3:J3"/>
    <mergeCell ref="B4:J4"/>
    <mergeCell ref="B56:J56"/>
  </mergeCells>
  <conditionalFormatting sqref="C32">
    <cfRule type="expression" dxfId="1" priority="1">
      <formula>$C$26="Heat pump"</formula>
    </cfRule>
    <cfRule type="expression" dxfId="0" priority="2">
      <formula>$C$26="Gas / Propane"</formula>
    </cfRule>
  </conditionalFormatting>
  <dataValidations count="10">
    <dataValidation type="list" allowBlank="1" showInputMessage="1" showErrorMessage="1" sqref="C26" xr:uid="{7C7AC15B-2E95-49A3-913D-ED36457B18AB}">
      <formula1>"Gas / Propane, Heat pump"</formula1>
    </dataValidation>
    <dataValidation type="list" allowBlank="1" showInputMessage="1" showErrorMessage="1" sqref="C11" xr:uid="{278C69E0-E8BB-47FB-86A5-83047B6B1EE7}">
      <formula1>"1, 2, 3A, 3B, 3C, 4, 5, 6, 7"</formula1>
    </dataValidation>
    <dataValidation type="list" allowBlank="1" showInputMessage="1" showErrorMessage="1" sqref="C17" xr:uid="{C34BE596-D1CF-4E3B-9B9B-23BB935BDCFB}">
      <formula1>"not sure (use default), 3,4,5,6,7,8,12"</formula1>
    </dataValidation>
    <dataValidation type="list" allowBlank="1" showInputMessage="1" showErrorMessage="1" sqref="C30" xr:uid="{19488883-FAD9-44B5-BEEA-7A33889BA718}">
      <formula1>"not sure (use default), 78,80,82"</formula1>
    </dataValidation>
    <dataValidation type="list" allowBlank="1" showInputMessage="1" showErrorMessage="1" sqref="C28" xr:uid="{94FCF58B-E6A6-485A-A950-3A52945CAF51}">
      <formula1>"not sure (use default), yes, no"</formula1>
    </dataValidation>
    <dataValidation type="decimal" operator="lessThan" allowBlank="1" showInputMessage="1" showErrorMessage="1" sqref="C32" xr:uid="{D0C036C6-6BFD-4D50-B773-6ECB080480B5}">
      <formula1>8</formula1>
    </dataValidation>
    <dataValidation type="list" allowBlank="1" showInputMessage="1" showErrorMessage="1" sqref="C43" xr:uid="{3C4D48F7-3557-4BEE-8648-B6EEA9EA6CD5}">
      <formula1>"Yes, No"</formula1>
    </dataValidation>
    <dataValidation type="list" allowBlank="1" showInputMessage="1" showErrorMessage="1" sqref="C41" xr:uid="{5A0544EF-0267-4F87-834F-1B6D57BDFE30}">
      <formula1>"1, 1.5, 2, 2.5, 3"</formula1>
    </dataValidation>
    <dataValidation type="list" allowBlank="1" showInputMessage="1" showErrorMessage="1" sqref="C47" xr:uid="{02CD8931-4DE6-4FF3-B0BB-4FD7A23D2A74}">
      <formula1>"not sure (use default),1,2"</formula1>
    </dataValidation>
    <dataValidation allowBlank="1" showInputMessage="1" prompt="This value is calculated automatically. The user should only overwrite this value if the pump energy factor is provided by the manufacturer or identified within the ENERGY STAR database. " sqref="C49" xr:uid="{669EE1FA-2D51-49CC-885B-9923CEA30963}"/>
  </dataValidations>
  <pageMargins left="0.7" right="0.7" top="0.75" bottom="0.75" header="0.3" footer="0.3"/>
  <pageSetup orientation="portrait" horizontalDpi="90" verticalDpi="9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CED90D-BC8D-4D43-B197-D3CB79107E30}">
          <x14:formula1>
            <xm:f>'pump assumptions &amp; calcs'!$B$20:$B$22</xm:f>
          </x14:formula1>
          <xm:sqref>C45:C47</xm:sqref>
        </x14:dataValidation>
        <x14:dataValidation type="list" allowBlank="1" showInputMessage="1" showErrorMessage="1" xr:uid="{0F85F1A9-3237-4E51-B657-17FF3264545A}">
          <x14:formula1>
            <xm:f>'pump assumptions &amp; calcs'!$B$45:$B$95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5BD9-5793-4E3C-8BD8-F716FDB045DA}">
  <dimension ref="B2:J96"/>
  <sheetViews>
    <sheetView topLeftCell="A65" workbookViewId="0">
      <selection activeCell="F68" sqref="F68"/>
    </sheetView>
  </sheetViews>
  <sheetFormatPr defaultRowHeight="15"/>
  <cols>
    <col min="1" max="1" width="5.28515625" customWidth="1"/>
    <col min="2" max="2" width="20.28515625" customWidth="1"/>
    <col min="3" max="4" width="13" customWidth="1"/>
    <col min="5" max="5" width="13.28515625" customWidth="1"/>
    <col min="6" max="9" width="14.85546875" customWidth="1"/>
    <col min="10" max="10" width="7.28515625" customWidth="1"/>
  </cols>
  <sheetData>
    <row r="2" spans="2:10" ht="15.75" thickBot="1"/>
    <row r="3" spans="2:10">
      <c r="B3" s="94" t="s">
        <v>88</v>
      </c>
      <c r="C3" s="95"/>
      <c r="D3" s="95"/>
      <c r="E3" s="96"/>
      <c r="F3" s="96"/>
      <c r="G3" s="96"/>
      <c r="H3" s="96"/>
      <c r="I3" s="96"/>
      <c r="J3" s="97"/>
    </row>
    <row r="4" spans="2:10" ht="15.75">
      <c r="B4" s="145"/>
      <c r="C4" s="146"/>
      <c r="D4" s="147"/>
      <c r="E4" s="142" t="s">
        <v>84</v>
      </c>
      <c r="F4" s="143"/>
      <c r="G4" s="143"/>
      <c r="H4" s="143"/>
      <c r="I4" s="144"/>
      <c r="J4" s="98"/>
    </row>
    <row r="5" spans="2:10" ht="15.75">
      <c r="B5" s="148"/>
      <c r="C5" s="149"/>
      <c r="D5" s="150"/>
      <c r="E5" s="72">
        <v>3</v>
      </c>
      <c r="F5" s="72">
        <v>2.5</v>
      </c>
      <c r="G5" s="72">
        <v>2</v>
      </c>
      <c r="H5" s="72">
        <v>1.5</v>
      </c>
      <c r="I5" s="72">
        <v>1</v>
      </c>
      <c r="J5" s="98"/>
    </row>
    <row r="6" spans="2:10" ht="15.75">
      <c r="B6" s="136" t="s">
        <v>85</v>
      </c>
      <c r="C6" s="137"/>
      <c r="D6" s="138"/>
      <c r="E6" s="73">
        <v>1.9986893840104849</v>
      </c>
      <c r="F6" s="73">
        <v>2.1812025891105056</v>
      </c>
      <c r="G6" s="73">
        <v>2.2990492653414001</v>
      </c>
      <c r="H6" s="73">
        <v>2.2676708353485804</v>
      </c>
      <c r="I6" s="73">
        <v>2.5131761442441056</v>
      </c>
      <c r="J6" s="98"/>
    </row>
    <row r="7" spans="2:10" ht="15.75">
      <c r="B7" s="136" t="s">
        <v>86</v>
      </c>
      <c r="C7" s="137"/>
      <c r="D7" s="138"/>
      <c r="E7" s="74">
        <v>101.66666666666667</v>
      </c>
      <c r="F7" s="74">
        <v>93.090999999999994</v>
      </c>
      <c r="G7" s="74">
        <v>88.666666666666671</v>
      </c>
      <c r="H7" s="74">
        <v>78.142857142857139</v>
      </c>
      <c r="I7" s="74">
        <v>75.5</v>
      </c>
      <c r="J7" s="98"/>
    </row>
    <row r="8" spans="2:10">
      <c r="B8" s="99"/>
      <c r="C8" s="100"/>
      <c r="D8" s="100"/>
      <c r="E8" s="101"/>
      <c r="F8" s="101"/>
      <c r="G8" s="101"/>
      <c r="H8" s="101"/>
      <c r="I8" s="101"/>
      <c r="J8" s="102"/>
    </row>
    <row r="9" spans="2:10" ht="15.75">
      <c r="B9" s="99" t="s">
        <v>89</v>
      </c>
      <c r="C9" s="100"/>
      <c r="D9" s="100"/>
      <c r="E9" s="101"/>
      <c r="F9" s="101"/>
      <c r="G9" s="103"/>
      <c r="H9" s="103"/>
      <c r="I9" s="103"/>
      <c r="J9" s="98"/>
    </row>
    <row r="10" spans="2:10">
      <c r="B10" s="151"/>
      <c r="C10" s="152"/>
      <c r="D10" s="153"/>
      <c r="E10" s="142" t="s">
        <v>90</v>
      </c>
      <c r="F10" s="143"/>
      <c r="G10" s="143"/>
      <c r="H10" s="143"/>
      <c r="I10" s="144"/>
      <c r="J10" s="104"/>
    </row>
    <row r="11" spans="2:10">
      <c r="B11" s="154"/>
      <c r="C11" s="155"/>
      <c r="D11" s="156"/>
      <c r="E11" s="75" t="s">
        <v>91</v>
      </c>
      <c r="F11" s="75" t="s">
        <v>92</v>
      </c>
      <c r="G11" s="75" t="s">
        <v>93</v>
      </c>
      <c r="H11" s="75" t="s">
        <v>94</v>
      </c>
      <c r="I11" s="75" t="s">
        <v>95</v>
      </c>
      <c r="J11" s="104"/>
    </row>
    <row r="12" spans="2:10">
      <c r="B12" s="105"/>
      <c r="C12" s="79"/>
      <c r="D12" s="80"/>
      <c r="E12" s="75">
        <v>3</v>
      </c>
      <c r="F12" s="75">
        <v>2.5</v>
      </c>
      <c r="G12" s="75">
        <v>2</v>
      </c>
      <c r="H12" s="75">
        <v>1.5</v>
      </c>
      <c r="I12" s="75">
        <v>1</v>
      </c>
      <c r="J12" s="104"/>
    </row>
    <row r="13" spans="2:10">
      <c r="B13" s="136" t="s">
        <v>96</v>
      </c>
      <c r="C13" s="137"/>
      <c r="D13" s="138"/>
      <c r="E13" s="76">
        <v>7.1</v>
      </c>
      <c r="F13" s="76">
        <v>7.4</v>
      </c>
      <c r="G13" s="76">
        <v>9.3000000000000007</v>
      </c>
      <c r="H13" s="76">
        <v>8.9</v>
      </c>
      <c r="I13" s="76">
        <v>8.6999999999999993</v>
      </c>
      <c r="J13" s="104"/>
    </row>
    <row r="14" spans="2:10">
      <c r="B14" s="136" t="s">
        <v>97</v>
      </c>
      <c r="C14" s="137"/>
      <c r="D14" s="138"/>
      <c r="E14" s="77">
        <v>102</v>
      </c>
      <c r="F14" s="77">
        <v>90</v>
      </c>
      <c r="G14" s="77">
        <v>89.714285714285708</v>
      </c>
      <c r="H14" s="77">
        <v>78</v>
      </c>
      <c r="I14" s="77">
        <v>70</v>
      </c>
      <c r="J14" s="104"/>
    </row>
    <row r="15" spans="2:10">
      <c r="B15" s="136" t="s">
        <v>98</v>
      </c>
      <c r="C15" s="137"/>
      <c r="D15" s="138"/>
      <c r="E15" s="77">
        <v>6.0714285714285712</v>
      </c>
      <c r="F15" s="77">
        <v>5.9565217391304346</v>
      </c>
      <c r="G15" s="77">
        <v>6.4985881403791845</v>
      </c>
      <c r="H15" s="77">
        <v>6.709072648141948</v>
      </c>
      <c r="I15" s="77">
        <v>6.7787114845938374</v>
      </c>
      <c r="J15" s="104"/>
    </row>
    <row r="16" spans="2:10" ht="15.75" thickBot="1">
      <c r="B16" s="139" t="s">
        <v>99</v>
      </c>
      <c r="C16" s="140"/>
      <c r="D16" s="141"/>
      <c r="E16" s="106">
        <v>51</v>
      </c>
      <c r="F16" s="106">
        <v>45.666666666666664</v>
      </c>
      <c r="G16" s="106">
        <v>44.75</v>
      </c>
      <c r="H16" s="106">
        <v>41.75</v>
      </c>
      <c r="I16" s="106">
        <v>40.333333333333336</v>
      </c>
      <c r="J16" s="107"/>
    </row>
    <row r="17" spans="2:5">
      <c r="B17" s="78" t="s">
        <v>100</v>
      </c>
      <c r="C17" s="78"/>
      <c r="D17" s="78"/>
    </row>
    <row r="19" spans="2:5">
      <c r="B19" t="s">
        <v>106</v>
      </c>
    </row>
    <row r="20" spans="2:5">
      <c r="B20" s="82" t="s">
        <v>75</v>
      </c>
      <c r="C20" s="83"/>
    </row>
    <row r="21" spans="2:5">
      <c r="B21" s="84" t="s">
        <v>102</v>
      </c>
      <c r="C21" s="85"/>
    </row>
    <row r="22" spans="2:5">
      <c r="B22" s="86" t="s">
        <v>105</v>
      </c>
      <c r="C22" s="87"/>
    </row>
    <row r="24" spans="2:5" ht="15.75" thickBot="1"/>
    <row r="25" spans="2:5">
      <c r="B25" s="88" t="s">
        <v>173</v>
      </c>
      <c r="C25" s="89"/>
      <c r="D25" s="90"/>
    </row>
    <row r="26" spans="2:5">
      <c r="B26" s="11" t="s">
        <v>107</v>
      </c>
      <c r="C26">
        <f>'Pool Energy Use Calculator'!C41</f>
        <v>0</v>
      </c>
      <c r="D26" s="91"/>
    </row>
    <row r="27" spans="2:5">
      <c r="B27" s="11" t="s">
        <v>81</v>
      </c>
      <c r="C27" s="61" t="str">
        <f>'Pool Energy Use Calculator'!C43</f>
        <v>No</v>
      </c>
      <c r="D27" s="91"/>
    </row>
    <row r="28" spans="2:5">
      <c r="B28" s="11" t="s">
        <v>101</v>
      </c>
      <c r="C28" s="61" t="str">
        <f>IF('Pool Energy Use Calculator'!C45=B20,IF(C27="no","single-speed","variable-speed"),'Pool Energy Use Calculator'!C45)</f>
        <v>single-speed</v>
      </c>
      <c r="D28" s="91"/>
    </row>
    <row r="29" spans="2:5" ht="15.75" thickBot="1">
      <c r="B29" s="71" t="s">
        <v>174</v>
      </c>
      <c r="C29" s="92" t="e">
        <f>IF(C28=B21,HLOOKUP(C26,E5:I6,2,FALSE),IF(C28=B22,HLOOKUP(C26,E12:I13,2,FALSE)))</f>
        <v>#N/A</v>
      </c>
      <c r="D29" s="93" t="s">
        <v>104</v>
      </c>
    </row>
    <row r="30" spans="2:5" ht="15.75" thickBot="1"/>
    <row r="31" spans="2:5">
      <c r="B31" s="88" t="s">
        <v>171</v>
      </c>
      <c r="C31" s="89"/>
      <c r="D31" s="89"/>
      <c r="E31" s="90"/>
    </row>
    <row r="32" spans="2:5">
      <c r="B32" s="11" t="s">
        <v>165</v>
      </c>
      <c r="C32" t="str">
        <f>'Pool Energy Use Calculator'!C17</f>
        <v>not sure (use default)</v>
      </c>
      <c r="E32" s="91"/>
    </row>
    <row r="33" spans="2:5">
      <c r="B33" s="11" t="s">
        <v>170</v>
      </c>
      <c r="C33" t="e">
        <f>VLOOKUP(E33,B45:E95,3,FALSE)</f>
        <v>#N/A</v>
      </c>
      <c r="D33" t="s">
        <v>169</v>
      </c>
      <c r="E33" s="91">
        <f>'Pool Energy Use Calculator'!C9</f>
        <v>0</v>
      </c>
    </row>
    <row r="34" spans="2:5">
      <c r="B34" s="11" t="s">
        <v>172</v>
      </c>
      <c r="C34" t="e">
        <f>IF('Pool Energy Use Calculator'!C17="not sure (use default)",C33,'Pool Energy Use Calculator'!C17)</f>
        <v>#N/A</v>
      </c>
      <c r="E34" s="91"/>
    </row>
    <row r="35" spans="2:5" ht="15.75" thickBot="1">
      <c r="B35" s="71"/>
      <c r="C35" s="117"/>
      <c r="D35" s="117"/>
      <c r="E35" s="93"/>
    </row>
    <row r="36" spans="2:5" ht="15.75" thickBot="1"/>
    <row r="37" spans="2:5">
      <c r="B37" s="88" t="s">
        <v>175</v>
      </c>
      <c r="C37" s="89"/>
      <c r="D37" s="89"/>
      <c r="E37" s="90"/>
    </row>
    <row r="38" spans="2:5">
      <c r="B38" s="11" t="s">
        <v>165</v>
      </c>
      <c r="C38" t="str">
        <f>'Pool Energy Use Calculator'!C47</f>
        <v>not sure (use default)</v>
      </c>
      <c r="E38" s="91"/>
    </row>
    <row r="39" spans="2:5">
      <c r="B39" s="11" t="s">
        <v>176</v>
      </c>
      <c r="C39" s="61" t="e">
        <f>VLOOKUP(E33,B45:E95,4,FALSE)</f>
        <v>#N/A</v>
      </c>
      <c r="D39" t="s">
        <v>169</v>
      </c>
      <c r="E39" s="91">
        <f>'Pool Energy Use Calculator'!C9</f>
        <v>0</v>
      </c>
    </row>
    <row r="40" spans="2:5">
      <c r="B40" s="11" t="s">
        <v>177</v>
      </c>
      <c r="C40" s="61" t="e">
        <f>IF('Pool Energy Use Calculator'!C47="not sure (use default)",C39,'Pool Energy Use Calculator'!C47)</f>
        <v>#N/A</v>
      </c>
      <c r="E40" s="91"/>
    </row>
    <row r="41" spans="2:5" ht="15.75" thickBot="1">
      <c r="B41" s="71"/>
      <c r="C41" s="92"/>
      <c r="D41" s="117"/>
      <c r="E41" s="93"/>
    </row>
    <row r="43" spans="2:5" ht="15.75" thickBot="1"/>
    <row r="44" spans="2:5" ht="27" customHeight="1">
      <c r="B44" s="114" t="s">
        <v>161</v>
      </c>
      <c r="C44" s="115" t="s">
        <v>162</v>
      </c>
      <c r="D44" s="115" t="s">
        <v>163</v>
      </c>
      <c r="E44" s="116" t="s">
        <v>164</v>
      </c>
    </row>
    <row r="45" spans="2:5">
      <c r="B45" s="108" t="s">
        <v>108</v>
      </c>
      <c r="C45" s="109" t="s">
        <v>159</v>
      </c>
      <c r="D45" s="109">
        <v>12</v>
      </c>
      <c r="E45" s="112">
        <f>IF(C45="warm",1,2)</f>
        <v>1</v>
      </c>
    </row>
    <row r="46" spans="2:5">
      <c r="B46" s="108" t="s">
        <v>109</v>
      </c>
      <c r="C46" s="109" t="s">
        <v>160</v>
      </c>
      <c r="D46" s="109">
        <v>5</v>
      </c>
      <c r="E46" s="112">
        <f t="shared" ref="E46:E95" si="0">IF(C46="warm",1,2)</f>
        <v>2</v>
      </c>
    </row>
    <row r="47" spans="2:5">
      <c r="B47" s="108" t="s">
        <v>110</v>
      </c>
      <c r="C47" s="109" t="s">
        <v>159</v>
      </c>
      <c r="D47" s="109">
        <v>12</v>
      </c>
      <c r="E47" s="112">
        <f t="shared" si="0"/>
        <v>1</v>
      </c>
    </row>
    <row r="48" spans="2:5">
      <c r="B48" s="108" t="s">
        <v>111</v>
      </c>
      <c r="C48" s="109" t="s">
        <v>159</v>
      </c>
      <c r="D48" s="109">
        <v>12</v>
      </c>
      <c r="E48" s="112">
        <f t="shared" si="0"/>
        <v>1</v>
      </c>
    </row>
    <row r="49" spans="2:5">
      <c r="B49" s="108" t="s">
        <v>112</v>
      </c>
      <c r="C49" s="109" t="s">
        <v>159</v>
      </c>
      <c r="D49" s="109">
        <v>12</v>
      </c>
      <c r="E49" s="112">
        <f t="shared" si="0"/>
        <v>1</v>
      </c>
    </row>
    <row r="50" spans="2:5">
      <c r="B50" s="108" t="s">
        <v>113</v>
      </c>
      <c r="C50" s="109" t="s">
        <v>159</v>
      </c>
      <c r="D50" s="109">
        <v>4</v>
      </c>
      <c r="E50" s="112">
        <f t="shared" si="0"/>
        <v>1</v>
      </c>
    </row>
    <row r="51" spans="2:5">
      <c r="B51" s="108" t="s">
        <v>114</v>
      </c>
      <c r="C51" s="109" t="s">
        <v>160</v>
      </c>
      <c r="D51" s="109">
        <v>4</v>
      </c>
      <c r="E51" s="112">
        <f t="shared" si="0"/>
        <v>2</v>
      </c>
    </row>
    <row r="52" spans="2:5">
      <c r="B52" s="108" t="s">
        <v>115</v>
      </c>
      <c r="C52" s="109" t="s">
        <v>160</v>
      </c>
      <c r="D52" s="109">
        <v>5</v>
      </c>
      <c r="E52" s="112">
        <f t="shared" si="0"/>
        <v>2</v>
      </c>
    </row>
    <row r="53" spans="2:5">
      <c r="B53" s="108" t="s">
        <v>116</v>
      </c>
      <c r="C53" s="109" t="s">
        <v>160</v>
      </c>
      <c r="D53" s="109">
        <v>5</v>
      </c>
      <c r="E53" s="112">
        <f t="shared" si="0"/>
        <v>2</v>
      </c>
    </row>
    <row r="54" spans="2:5">
      <c r="B54" s="108" t="s">
        <v>117</v>
      </c>
      <c r="C54" s="109" t="s">
        <v>159</v>
      </c>
      <c r="D54" s="109">
        <v>12</v>
      </c>
      <c r="E54" s="112">
        <f t="shared" si="0"/>
        <v>1</v>
      </c>
    </row>
    <row r="55" spans="2:5">
      <c r="B55" s="108" t="s">
        <v>118</v>
      </c>
      <c r="C55" s="109" t="s">
        <v>159</v>
      </c>
      <c r="D55" s="109">
        <v>7</v>
      </c>
      <c r="E55" s="112">
        <f t="shared" si="0"/>
        <v>1</v>
      </c>
    </row>
    <row r="56" spans="2:5">
      <c r="B56" s="108" t="s">
        <v>119</v>
      </c>
      <c r="C56" s="109" t="s">
        <v>159</v>
      </c>
      <c r="D56" s="109">
        <v>12</v>
      </c>
      <c r="E56" s="112">
        <f t="shared" si="0"/>
        <v>1</v>
      </c>
    </row>
    <row r="57" spans="2:5">
      <c r="B57" s="108" t="s">
        <v>120</v>
      </c>
      <c r="C57" s="109" t="s">
        <v>160</v>
      </c>
      <c r="D57" s="109">
        <v>4</v>
      </c>
      <c r="E57" s="112">
        <f t="shared" si="0"/>
        <v>2</v>
      </c>
    </row>
    <row r="58" spans="2:5">
      <c r="B58" s="108" t="s">
        <v>121</v>
      </c>
      <c r="C58" s="109" t="s">
        <v>160</v>
      </c>
      <c r="D58" s="109">
        <v>4</v>
      </c>
      <c r="E58" s="112">
        <f t="shared" si="0"/>
        <v>2</v>
      </c>
    </row>
    <row r="59" spans="2:5">
      <c r="B59" s="108" t="s">
        <v>122</v>
      </c>
      <c r="C59" s="109" t="s">
        <v>160</v>
      </c>
      <c r="D59" s="109">
        <v>4</v>
      </c>
      <c r="E59" s="112">
        <f t="shared" si="0"/>
        <v>2</v>
      </c>
    </row>
    <row r="60" spans="2:5">
      <c r="B60" s="108" t="s">
        <v>123</v>
      </c>
      <c r="C60" s="109" t="s">
        <v>160</v>
      </c>
      <c r="D60" s="109">
        <v>4</v>
      </c>
      <c r="E60" s="112">
        <f t="shared" si="0"/>
        <v>2</v>
      </c>
    </row>
    <row r="61" spans="2:5">
      <c r="B61" s="108" t="s">
        <v>124</v>
      </c>
      <c r="C61" s="109" t="s">
        <v>160</v>
      </c>
      <c r="D61" s="109">
        <v>4</v>
      </c>
      <c r="E61" s="112">
        <f t="shared" si="0"/>
        <v>2</v>
      </c>
    </row>
    <row r="62" spans="2:5">
      <c r="B62" s="108" t="s">
        <v>125</v>
      </c>
      <c r="C62" s="109" t="s">
        <v>160</v>
      </c>
      <c r="D62" s="109">
        <v>12</v>
      </c>
      <c r="E62" s="112">
        <f t="shared" si="0"/>
        <v>2</v>
      </c>
    </row>
    <row r="63" spans="2:5">
      <c r="B63" s="108" t="s">
        <v>126</v>
      </c>
      <c r="C63" s="109" t="s">
        <v>159</v>
      </c>
      <c r="D63" s="109">
        <v>12</v>
      </c>
      <c r="E63" s="112">
        <f t="shared" si="0"/>
        <v>1</v>
      </c>
    </row>
    <row r="64" spans="2:5">
      <c r="B64" s="108" t="s">
        <v>127</v>
      </c>
      <c r="C64" s="109" t="s">
        <v>160</v>
      </c>
      <c r="D64" s="109">
        <v>4</v>
      </c>
      <c r="E64" s="112">
        <f t="shared" si="0"/>
        <v>2</v>
      </c>
    </row>
    <row r="65" spans="2:5">
      <c r="B65" s="108" t="s">
        <v>128</v>
      </c>
      <c r="C65" s="109" t="s">
        <v>160</v>
      </c>
      <c r="D65" s="109">
        <v>5</v>
      </c>
      <c r="E65" s="112">
        <f t="shared" si="0"/>
        <v>2</v>
      </c>
    </row>
    <row r="66" spans="2:5">
      <c r="B66" s="108" t="s">
        <v>129</v>
      </c>
      <c r="C66" s="109" t="s">
        <v>160</v>
      </c>
      <c r="D66" s="109">
        <v>4</v>
      </c>
      <c r="E66" s="112">
        <f t="shared" si="0"/>
        <v>2</v>
      </c>
    </row>
    <row r="67" spans="2:5">
      <c r="B67" s="108" t="s">
        <v>130</v>
      </c>
      <c r="C67" s="109" t="s">
        <v>160</v>
      </c>
      <c r="D67" s="109">
        <v>4</v>
      </c>
      <c r="E67" s="112">
        <f t="shared" si="0"/>
        <v>2</v>
      </c>
    </row>
    <row r="68" spans="2:5">
      <c r="B68" s="108" t="s">
        <v>131</v>
      </c>
      <c r="C68" s="109" t="s">
        <v>160</v>
      </c>
      <c r="D68" s="109">
        <v>4</v>
      </c>
      <c r="E68" s="112">
        <f t="shared" si="0"/>
        <v>2</v>
      </c>
    </row>
    <row r="69" spans="2:5">
      <c r="B69" s="108" t="s">
        <v>132</v>
      </c>
      <c r="C69" s="109" t="s">
        <v>159</v>
      </c>
      <c r="D69" s="109">
        <v>12</v>
      </c>
      <c r="E69" s="112">
        <f t="shared" si="0"/>
        <v>1</v>
      </c>
    </row>
    <row r="70" spans="2:5">
      <c r="B70" s="108" t="s">
        <v>133</v>
      </c>
      <c r="C70" s="109" t="s">
        <v>160</v>
      </c>
      <c r="D70" s="109">
        <v>4</v>
      </c>
      <c r="E70" s="112">
        <f t="shared" si="0"/>
        <v>2</v>
      </c>
    </row>
    <row r="71" spans="2:5">
      <c r="B71" s="108" t="s">
        <v>134</v>
      </c>
      <c r="C71" s="109" t="s">
        <v>160</v>
      </c>
      <c r="D71" s="109">
        <v>4</v>
      </c>
      <c r="E71" s="112">
        <f t="shared" si="0"/>
        <v>2</v>
      </c>
    </row>
    <row r="72" spans="2:5">
      <c r="B72" s="108" t="s">
        <v>135</v>
      </c>
      <c r="C72" s="109" t="s">
        <v>160</v>
      </c>
      <c r="D72" s="109">
        <v>4</v>
      </c>
      <c r="E72" s="112">
        <f t="shared" si="0"/>
        <v>2</v>
      </c>
    </row>
    <row r="73" spans="2:5">
      <c r="B73" s="108" t="s">
        <v>136</v>
      </c>
      <c r="C73" s="109" t="s">
        <v>159</v>
      </c>
      <c r="D73" s="109">
        <v>12</v>
      </c>
      <c r="E73" s="112">
        <f t="shared" si="0"/>
        <v>1</v>
      </c>
    </row>
    <row r="74" spans="2:5">
      <c r="B74" s="108" t="s">
        <v>137</v>
      </c>
      <c r="C74" s="109" t="s">
        <v>160</v>
      </c>
      <c r="D74" s="109">
        <v>4</v>
      </c>
      <c r="E74" s="112">
        <f t="shared" si="0"/>
        <v>2</v>
      </c>
    </row>
    <row r="75" spans="2:5">
      <c r="B75" s="108" t="s">
        <v>138</v>
      </c>
      <c r="C75" s="109" t="s">
        <v>160</v>
      </c>
      <c r="D75" s="109">
        <v>4</v>
      </c>
      <c r="E75" s="112">
        <f t="shared" si="0"/>
        <v>2</v>
      </c>
    </row>
    <row r="76" spans="2:5">
      <c r="B76" s="108" t="s">
        <v>139</v>
      </c>
      <c r="C76" s="109" t="s">
        <v>159</v>
      </c>
      <c r="D76" s="109">
        <v>12</v>
      </c>
      <c r="E76" s="112">
        <f t="shared" si="0"/>
        <v>1</v>
      </c>
    </row>
    <row r="77" spans="2:5">
      <c r="B77" s="108" t="s">
        <v>140</v>
      </c>
      <c r="C77" s="109" t="s">
        <v>160</v>
      </c>
      <c r="D77" s="109">
        <v>4</v>
      </c>
      <c r="E77" s="112">
        <f t="shared" si="0"/>
        <v>2</v>
      </c>
    </row>
    <row r="78" spans="2:5">
      <c r="B78" s="108" t="s">
        <v>141</v>
      </c>
      <c r="C78" s="109" t="s">
        <v>159</v>
      </c>
      <c r="D78" s="109">
        <v>7</v>
      </c>
      <c r="E78" s="112">
        <f t="shared" si="0"/>
        <v>1</v>
      </c>
    </row>
    <row r="79" spans="2:5">
      <c r="B79" s="108" t="s">
        <v>142</v>
      </c>
      <c r="C79" s="109" t="s">
        <v>160</v>
      </c>
      <c r="D79" s="109">
        <v>4</v>
      </c>
      <c r="E79" s="112">
        <f t="shared" si="0"/>
        <v>2</v>
      </c>
    </row>
    <row r="80" spans="2:5">
      <c r="B80" s="108" t="s">
        <v>143</v>
      </c>
      <c r="C80" s="109" t="s">
        <v>160</v>
      </c>
      <c r="D80" s="109">
        <v>4</v>
      </c>
      <c r="E80" s="112">
        <f t="shared" si="0"/>
        <v>2</v>
      </c>
    </row>
    <row r="81" spans="2:5">
      <c r="B81" s="108" t="s">
        <v>144</v>
      </c>
      <c r="C81" s="109" t="s">
        <v>159</v>
      </c>
      <c r="D81" s="109">
        <v>12</v>
      </c>
      <c r="E81" s="112">
        <f t="shared" si="0"/>
        <v>1</v>
      </c>
    </row>
    <row r="82" spans="2:5">
      <c r="B82" s="108" t="s">
        <v>145</v>
      </c>
      <c r="C82" s="109" t="s">
        <v>160</v>
      </c>
      <c r="D82" s="109">
        <v>3</v>
      </c>
      <c r="E82" s="112">
        <f t="shared" si="0"/>
        <v>2</v>
      </c>
    </row>
    <row r="83" spans="2:5">
      <c r="B83" s="108" t="s">
        <v>146</v>
      </c>
      <c r="C83" s="109" t="s">
        <v>160</v>
      </c>
      <c r="D83" s="109">
        <v>4</v>
      </c>
      <c r="E83" s="112">
        <f t="shared" si="0"/>
        <v>2</v>
      </c>
    </row>
    <row r="84" spans="2:5">
      <c r="B84" s="108" t="s">
        <v>147</v>
      </c>
      <c r="C84" s="109" t="s">
        <v>160</v>
      </c>
      <c r="D84" s="109">
        <v>4</v>
      </c>
      <c r="E84" s="112">
        <f t="shared" si="0"/>
        <v>2</v>
      </c>
    </row>
    <row r="85" spans="2:5">
      <c r="B85" s="108" t="s">
        <v>148</v>
      </c>
      <c r="C85" s="109" t="s">
        <v>159</v>
      </c>
      <c r="D85" s="109">
        <v>7</v>
      </c>
      <c r="E85" s="112">
        <f t="shared" si="0"/>
        <v>1</v>
      </c>
    </row>
    <row r="86" spans="2:5">
      <c r="B86" s="108" t="s">
        <v>149</v>
      </c>
      <c r="C86" s="109" t="s">
        <v>160</v>
      </c>
      <c r="D86" s="109">
        <v>4</v>
      </c>
      <c r="E86" s="112">
        <f t="shared" si="0"/>
        <v>2</v>
      </c>
    </row>
    <row r="87" spans="2:5">
      <c r="B87" s="108" t="s">
        <v>150</v>
      </c>
      <c r="C87" s="109" t="s">
        <v>159</v>
      </c>
      <c r="D87" s="109">
        <v>12</v>
      </c>
      <c r="E87" s="112">
        <f t="shared" si="0"/>
        <v>1</v>
      </c>
    </row>
    <row r="88" spans="2:5">
      <c r="B88" s="108" t="s">
        <v>151</v>
      </c>
      <c r="C88" s="109" t="s">
        <v>159</v>
      </c>
      <c r="D88" s="109">
        <v>12</v>
      </c>
      <c r="E88" s="112">
        <f t="shared" si="0"/>
        <v>1</v>
      </c>
    </row>
    <row r="89" spans="2:5">
      <c r="B89" s="108" t="s">
        <v>152</v>
      </c>
      <c r="C89" s="109" t="s">
        <v>159</v>
      </c>
      <c r="D89" s="109">
        <v>4</v>
      </c>
      <c r="E89" s="112">
        <f t="shared" si="0"/>
        <v>1</v>
      </c>
    </row>
    <row r="90" spans="2:5">
      <c r="B90" s="108" t="s">
        <v>153</v>
      </c>
      <c r="C90" s="109" t="s">
        <v>160</v>
      </c>
      <c r="D90" s="109">
        <v>4</v>
      </c>
      <c r="E90" s="112">
        <f t="shared" si="0"/>
        <v>2</v>
      </c>
    </row>
    <row r="91" spans="2:5">
      <c r="B91" s="108" t="s">
        <v>154</v>
      </c>
      <c r="C91" s="109" t="s">
        <v>159</v>
      </c>
      <c r="D91" s="109">
        <v>7</v>
      </c>
      <c r="E91" s="112">
        <f t="shared" si="0"/>
        <v>1</v>
      </c>
    </row>
    <row r="92" spans="2:5">
      <c r="B92" s="108" t="s">
        <v>155</v>
      </c>
      <c r="C92" s="109" t="s">
        <v>160</v>
      </c>
      <c r="D92" s="109">
        <v>3</v>
      </c>
      <c r="E92" s="112">
        <f t="shared" si="0"/>
        <v>2</v>
      </c>
    </row>
    <row r="93" spans="2:5">
      <c r="B93" s="108" t="s">
        <v>156</v>
      </c>
      <c r="C93" s="109" t="s">
        <v>160</v>
      </c>
      <c r="D93" s="109">
        <v>5</v>
      </c>
      <c r="E93" s="112">
        <f t="shared" si="0"/>
        <v>2</v>
      </c>
    </row>
    <row r="94" spans="2:5">
      <c r="B94" s="108" t="s">
        <v>157</v>
      </c>
      <c r="C94" s="109" t="s">
        <v>160</v>
      </c>
      <c r="D94" s="109">
        <v>4</v>
      </c>
      <c r="E94" s="112">
        <f t="shared" si="0"/>
        <v>2</v>
      </c>
    </row>
    <row r="95" spans="2:5" ht="15.75" thickBot="1">
      <c r="B95" s="110" t="s">
        <v>158</v>
      </c>
      <c r="C95" s="111" t="s">
        <v>160</v>
      </c>
      <c r="D95" s="111">
        <v>4</v>
      </c>
      <c r="E95" s="113">
        <f t="shared" si="0"/>
        <v>2</v>
      </c>
    </row>
    <row r="96" spans="2:5">
      <c r="B96" s="78" t="s">
        <v>100</v>
      </c>
    </row>
  </sheetData>
  <mergeCells count="10">
    <mergeCell ref="B13:D13"/>
    <mergeCell ref="B14:D14"/>
    <mergeCell ref="B15:D15"/>
    <mergeCell ref="B16:D16"/>
    <mergeCell ref="E4:I4"/>
    <mergeCell ref="E10:I10"/>
    <mergeCell ref="B4:D5"/>
    <mergeCell ref="B10:D11"/>
    <mergeCell ref="B6:D6"/>
    <mergeCell ref="B7:D7"/>
  </mergeCells>
  <dataValidations disablePrompts="1" count="1">
    <dataValidation showDropDown="1" showInputMessage="1" showErrorMessage="1" sqref="C45:C95" xr:uid="{7C95584D-7F21-4EE4-B7CC-36044FAB1764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B80"/>
  <sheetViews>
    <sheetView zoomScale="85" zoomScaleNormal="85" workbookViewId="0">
      <selection activeCell="C8" sqref="C8"/>
    </sheetView>
  </sheetViews>
  <sheetFormatPr defaultRowHeight="15"/>
  <cols>
    <col min="2" max="2" width="33.7109375" customWidth="1"/>
    <col min="3" max="3" width="23.28515625" customWidth="1"/>
    <col min="4" max="5" width="23.85546875" customWidth="1"/>
    <col min="6" max="11" width="10.7109375" customWidth="1"/>
    <col min="12" max="12" width="4.7109375" customWidth="1"/>
    <col min="13" max="15" width="13.7109375" customWidth="1"/>
    <col min="16" max="16" width="5.85546875" customWidth="1"/>
    <col min="17" max="19" width="14.5703125" customWidth="1"/>
    <col min="20" max="20" width="5.42578125" customWidth="1"/>
    <col min="21" max="23" width="13.7109375" customWidth="1"/>
    <col min="26" max="29" width="15.28515625" customWidth="1"/>
  </cols>
  <sheetData>
    <row r="2" spans="2:9" ht="18.75">
      <c r="B2" s="123" t="s">
        <v>166</v>
      </c>
    </row>
    <row r="3" spans="2:9">
      <c r="B3" s="3"/>
      <c r="F3" s="2"/>
      <c r="G3" s="2"/>
      <c r="H3" s="2"/>
      <c r="I3" s="1"/>
    </row>
    <row r="4" spans="2:9">
      <c r="B4" s="19" t="s">
        <v>167</v>
      </c>
      <c r="C4" s="124" t="e">
        <f>IF('Pool Energy Use Calculator'!C26="Gas / Propane",IF(poolcover="yes",M34,M33),IF(poolcover="yes",U34,U33))</f>
        <v>#N/A</v>
      </c>
      <c r="D4" s="21"/>
      <c r="F4" s="2"/>
      <c r="G4" s="2"/>
      <c r="H4" s="2"/>
      <c r="I4" s="1"/>
    </row>
    <row r="5" spans="2:9">
      <c r="B5" s="22" t="s">
        <v>168</v>
      </c>
      <c r="C5" s="125" t="e">
        <f>C4*'Pool Energy Use Calculator'!C13</f>
        <v>#N/A</v>
      </c>
      <c r="D5" s="47"/>
      <c r="F5" s="2"/>
      <c r="G5" s="2"/>
      <c r="H5" s="2"/>
      <c r="I5" s="1"/>
    </row>
    <row r="6" spans="2:9">
      <c r="B6" s="22" t="s">
        <v>79</v>
      </c>
      <c r="C6" s="126" t="e">
        <f>Monthsperyear*C5</f>
        <v>#N/A</v>
      </c>
      <c r="D6" s="47"/>
      <c r="F6" s="2"/>
      <c r="G6" s="2"/>
      <c r="H6" s="2"/>
      <c r="I6" s="1"/>
    </row>
    <row r="7" spans="2:9">
      <c r="B7" s="22" t="s">
        <v>80</v>
      </c>
      <c r="C7" s="126" t="e">
        <f>C6/heater_efficiency</f>
        <v>#N/A</v>
      </c>
      <c r="D7" s="47"/>
      <c r="F7" s="2"/>
      <c r="G7" s="2"/>
      <c r="H7" s="2"/>
      <c r="I7" s="1"/>
    </row>
    <row r="8" spans="2:9">
      <c r="B8" s="22" t="s">
        <v>188</v>
      </c>
      <c r="C8" s="127" t="e">
        <f>C7*293.071</f>
        <v>#N/A</v>
      </c>
      <c r="D8" s="47"/>
      <c r="F8" s="2"/>
      <c r="G8" s="2"/>
      <c r="H8" s="2"/>
      <c r="I8" s="1"/>
    </row>
    <row r="9" spans="2:9">
      <c r="B9" s="128"/>
      <c r="C9" s="129"/>
      <c r="D9" s="48"/>
      <c r="F9" s="2"/>
      <c r="G9" s="2"/>
      <c r="H9" s="2"/>
      <c r="I9" s="1"/>
    </row>
    <row r="10" spans="2:9">
      <c r="F10" s="2"/>
      <c r="G10" s="2"/>
      <c r="H10" s="2"/>
      <c r="I10" s="1"/>
    </row>
    <row r="11" spans="2:9">
      <c r="F11" s="2"/>
      <c r="G11" s="2"/>
      <c r="H11" s="2"/>
      <c r="I11" s="1"/>
    </row>
    <row r="12" spans="2:9">
      <c r="F12" s="2"/>
      <c r="G12" s="2"/>
      <c r="H12" s="2"/>
      <c r="I12" s="1"/>
    </row>
    <row r="13" spans="2:9">
      <c r="F13" s="2"/>
      <c r="G13" s="2"/>
      <c r="H13" s="2"/>
      <c r="I13" s="1"/>
    </row>
    <row r="14" spans="2:9">
      <c r="F14" s="2"/>
      <c r="G14" s="2"/>
      <c r="H14" s="2"/>
      <c r="I14" s="1"/>
    </row>
    <row r="15" spans="2:9">
      <c r="F15" s="2"/>
      <c r="G15" s="2"/>
      <c r="H15" s="2"/>
      <c r="I15" s="1"/>
    </row>
    <row r="16" spans="2:9">
      <c r="F16" s="2"/>
      <c r="G16" s="2"/>
      <c r="H16" s="2"/>
      <c r="I16" s="1"/>
    </row>
    <row r="17" spans="2:23">
      <c r="F17" s="2"/>
      <c r="G17" s="2"/>
      <c r="H17" s="2"/>
      <c r="I17" s="1"/>
    </row>
    <row r="18" spans="2:23" ht="18.75">
      <c r="B18" s="52" t="s">
        <v>74</v>
      </c>
      <c r="F18" s="2"/>
      <c r="G18" s="2"/>
      <c r="H18" s="2"/>
      <c r="I18" s="1"/>
    </row>
    <row r="19" spans="2:23" ht="18.75">
      <c r="B19" s="52"/>
      <c r="M19" s="157" t="s">
        <v>40</v>
      </c>
      <c r="N19" s="158"/>
      <c r="O19" s="159"/>
      <c r="Q19" s="157" t="s">
        <v>41</v>
      </c>
      <c r="R19" s="158"/>
      <c r="S19" s="159"/>
      <c r="U19" s="157" t="s">
        <v>41</v>
      </c>
      <c r="V19" s="158"/>
      <c r="W19" s="159"/>
    </row>
    <row r="20" spans="2:23">
      <c r="B20" s="4"/>
      <c r="C20" s="4"/>
      <c r="D20" s="4"/>
      <c r="E20" s="174" t="s">
        <v>66</v>
      </c>
      <c r="M20" s="169" t="s">
        <v>56</v>
      </c>
      <c r="N20" s="170"/>
      <c r="O20" s="171"/>
      <c r="Q20" s="169" t="s">
        <v>56</v>
      </c>
      <c r="R20" s="170"/>
      <c r="S20" s="171"/>
      <c r="U20" s="169" t="s">
        <v>56</v>
      </c>
      <c r="V20" s="170"/>
      <c r="W20" s="171"/>
    </row>
    <row r="21" spans="2:23">
      <c r="B21" s="172" t="s">
        <v>63</v>
      </c>
      <c r="C21" s="172" t="s">
        <v>29</v>
      </c>
      <c r="D21" s="172" t="s">
        <v>67</v>
      </c>
      <c r="E21" s="175"/>
      <c r="M21" s="166" t="s">
        <v>60</v>
      </c>
      <c r="N21" s="167"/>
      <c r="O21" s="168"/>
      <c r="Q21" s="160" t="s">
        <v>61</v>
      </c>
      <c r="R21" s="161"/>
      <c r="S21" s="162"/>
      <c r="U21" s="160" t="s">
        <v>62</v>
      </c>
      <c r="V21" s="161"/>
      <c r="W21" s="162"/>
    </row>
    <row r="22" spans="2:23" ht="14.45" customHeight="1">
      <c r="B22" s="172"/>
      <c r="C22" s="173"/>
      <c r="D22" s="172"/>
      <c r="E22" s="176"/>
      <c r="M22" s="25" t="s">
        <v>3</v>
      </c>
      <c r="N22" s="25" t="s">
        <v>4</v>
      </c>
      <c r="O22" s="25" t="s">
        <v>5</v>
      </c>
      <c r="Q22" s="25" t="s">
        <v>3</v>
      </c>
      <c r="R22" s="25" t="s">
        <v>4</v>
      </c>
      <c r="S22" s="25" t="s">
        <v>5</v>
      </c>
      <c r="U22" s="25" t="s">
        <v>3</v>
      </c>
      <c r="V22" s="25" t="s">
        <v>4</v>
      </c>
      <c r="W22" s="25" t="s">
        <v>5</v>
      </c>
    </row>
    <row r="23" spans="2:23">
      <c r="B23" s="56" t="s">
        <v>64</v>
      </c>
      <c r="C23" s="57">
        <v>1</v>
      </c>
      <c r="D23" s="58"/>
      <c r="E23" s="57">
        <v>12</v>
      </c>
      <c r="M23" s="59">
        <f>M53</f>
        <v>1.7798171009174309E-2</v>
      </c>
      <c r="N23" s="59">
        <f>N53</f>
        <v>2.3730894678899078E-2</v>
      </c>
      <c r="O23" s="59">
        <f>O53</f>
        <v>2.9996917431192659E-2</v>
      </c>
      <c r="Q23" s="40">
        <f>Q53</f>
        <v>4.7995003843197548</v>
      </c>
      <c r="R23" s="40">
        <f>R53</f>
        <v>6.3702459646425824</v>
      </c>
      <c r="S23" s="40">
        <f>S53</f>
        <v>8.050071099154497</v>
      </c>
      <c r="U23" s="59">
        <f t="shared" ref="U23:U31" si="0">Q23/293.071</f>
        <v>1.6376579000719125E-2</v>
      </c>
      <c r="V23" s="59">
        <f t="shared" ref="V23:V31" si="1">R23/293.071</f>
        <v>2.1736186673681743E-2</v>
      </c>
      <c r="W23" s="59">
        <f t="shared" ref="W23:W31" si="2">S23/293.071</f>
        <v>2.7467989323933437E-2</v>
      </c>
    </row>
    <row r="24" spans="2:23">
      <c r="B24" s="56" t="s">
        <v>64</v>
      </c>
      <c r="C24" s="57">
        <v>2</v>
      </c>
      <c r="D24" s="58"/>
      <c r="E24" s="57">
        <v>8</v>
      </c>
      <c r="M24" s="59">
        <f>M55</f>
        <v>1.72982223853211E-2</v>
      </c>
      <c r="N24" s="59">
        <f>N55</f>
        <v>2.2197718899082567E-2</v>
      </c>
      <c r="O24" s="59">
        <f>O55</f>
        <v>2.7697153761467891E-2</v>
      </c>
      <c r="Q24" s="40">
        <f>Q55</f>
        <v>4.4504458109146814</v>
      </c>
      <c r="R24" s="40">
        <f>R55</f>
        <v>5.72667659492698</v>
      </c>
      <c r="S24" s="40">
        <f>S55</f>
        <v>7.1338028439661807</v>
      </c>
      <c r="U24" s="59">
        <f t="shared" si="0"/>
        <v>1.5185555073394096E-2</v>
      </c>
      <c r="V24" s="59">
        <f t="shared" si="1"/>
        <v>1.9540236307676227E-2</v>
      </c>
      <c r="W24" s="59">
        <f t="shared" si="2"/>
        <v>2.4341551514705243E-2</v>
      </c>
    </row>
    <row r="25" spans="2:23">
      <c r="B25" s="56" t="s">
        <v>64</v>
      </c>
      <c r="C25" s="57" t="s">
        <v>34</v>
      </c>
      <c r="D25" s="58" t="s">
        <v>68</v>
      </c>
      <c r="E25" s="57">
        <v>7</v>
      </c>
      <c r="M25" s="59">
        <f>AVERAGE(M57,M59)</f>
        <v>2.2969068204456093E-2</v>
      </c>
      <c r="N25" s="59">
        <f>AVERAGE(N57,N59)</f>
        <v>2.9768369488859768E-2</v>
      </c>
      <c r="O25" s="59">
        <f>AVERAGE(O57,O59)</f>
        <v>3.8110369384010495E-2</v>
      </c>
      <c r="Q25" s="40">
        <f>AVERAGE(Q57,Q59)</f>
        <v>5.9837926869441098</v>
      </c>
      <c r="R25" s="40">
        <f>AVERAGE(R57,R59)</f>
        <v>7.7789304930273424</v>
      </c>
      <c r="S25" s="40">
        <f>AVERAGE(S57,S59)</f>
        <v>9.9667546941912821</v>
      </c>
      <c r="U25" s="59">
        <f t="shared" si="0"/>
        <v>2.0417553039857608E-2</v>
      </c>
      <c r="V25" s="59">
        <f t="shared" si="1"/>
        <v>2.654281895181489E-2</v>
      </c>
      <c r="W25" s="59">
        <f t="shared" si="2"/>
        <v>3.4007986782012826E-2</v>
      </c>
    </row>
    <row r="26" spans="2:23">
      <c r="B26" s="56" t="s">
        <v>64</v>
      </c>
      <c r="C26" s="57" t="s">
        <v>36</v>
      </c>
      <c r="D26" s="58"/>
      <c r="E26" s="57">
        <v>6</v>
      </c>
      <c r="M26" s="59">
        <f>M59</f>
        <v>2.4340355858453473E-2</v>
      </c>
      <c r="N26" s="59">
        <f>N59</f>
        <v>3.2110985897771956E-2</v>
      </c>
      <c r="O26" s="59">
        <f>O59</f>
        <v>4.1138629619921374E-2</v>
      </c>
      <c r="Q26" s="42">
        <f>Q59</f>
        <v>6.2829823212913141</v>
      </c>
      <c r="R26" s="42">
        <f>R59</f>
        <v>8.3025123531349525</v>
      </c>
      <c r="S26" s="42">
        <f>S59</f>
        <v>10.658630723619195</v>
      </c>
      <c r="U26" s="59">
        <f t="shared" si="0"/>
        <v>2.1438430691850485E-2</v>
      </c>
      <c r="V26" s="59">
        <f t="shared" si="1"/>
        <v>2.8329354842802433E-2</v>
      </c>
      <c r="W26" s="59">
        <f t="shared" si="2"/>
        <v>3.6368766352246368E-2</v>
      </c>
    </row>
    <row r="27" spans="2:23" ht="14.45" customHeight="1">
      <c r="B27" s="56" t="s">
        <v>64</v>
      </c>
      <c r="C27" s="57" t="s">
        <v>47</v>
      </c>
      <c r="D27" s="58" t="s">
        <v>69</v>
      </c>
      <c r="E27" s="57">
        <v>6</v>
      </c>
      <c r="M27" s="59">
        <f>M61</f>
        <v>3.1063474495412847E-2</v>
      </c>
      <c r="N27" s="59">
        <f>N61</f>
        <v>3.9595931009174308E-2</v>
      </c>
      <c r="O27" s="59">
        <f>O61</f>
        <v>4.8395026788990825E-2</v>
      </c>
      <c r="Q27" s="42">
        <f>Q61</f>
        <v>8.2900461183704852</v>
      </c>
      <c r="R27" s="42">
        <f>R61</f>
        <v>10.558900845503459</v>
      </c>
      <c r="S27" s="42">
        <f>S61</f>
        <v>12.958651037663337</v>
      </c>
      <c r="U27" s="59">
        <f t="shared" si="0"/>
        <v>2.8286818273969394E-2</v>
      </c>
      <c r="V27" s="59">
        <f t="shared" si="1"/>
        <v>3.602847380158207E-2</v>
      </c>
      <c r="W27" s="59">
        <f t="shared" si="2"/>
        <v>4.4216763301941631E-2</v>
      </c>
    </row>
    <row r="28" spans="2:23" ht="14.45" customHeight="1">
      <c r="B28" s="56" t="s">
        <v>64</v>
      </c>
      <c r="C28" s="57">
        <v>4</v>
      </c>
      <c r="D28" s="58" t="s">
        <v>70</v>
      </c>
      <c r="E28" s="57">
        <v>6</v>
      </c>
      <c r="M28" s="59">
        <f>AVERAGE(M65,M67,M69)</f>
        <v>3.456089286850153E-2</v>
      </c>
      <c r="N28" s="59">
        <f>AVERAGE(N65,N67,N69)</f>
        <v>4.2911145883792044E-2</v>
      </c>
      <c r="O28" s="59">
        <f>AVERAGE(O65,O67,O69)</f>
        <v>5.1976880929663606E-2</v>
      </c>
      <c r="Q28" s="42">
        <f>AVERAGE(Q65,Q67,Q69)</f>
        <v>9.1423210351012063</v>
      </c>
      <c r="R28" s="42">
        <f>AVERAGE(R65,R67,R69)</f>
        <v>11.358817576223418</v>
      </c>
      <c r="S28" s="42">
        <f>AVERAGE(S65,S67,S69)</f>
        <v>13.726571099154498</v>
      </c>
      <c r="U28" s="59">
        <f t="shared" si="0"/>
        <v>3.1194901696521341E-2</v>
      </c>
      <c r="V28" s="59">
        <f t="shared" si="1"/>
        <v>3.875790363503525E-2</v>
      </c>
      <c r="W28" s="59">
        <f t="shared" si="2"/>
        <v>4.6837015942056692E-2</v>
      </c>
    </row>
    <row r="29" spans="2:23">
      <c r="B29" s="56" t="s">
        <v>64</v>
      </c>
      <c r="C29" s="57">
        <v>5</v>
      </c>
      <c r="D29" s="58" t="s">
        <v>71</v>
      </c>
      <c r="E29" s="57">
        <v>4</v>
      </c>
      <c r="M29" s="59">
        <f>AVERAGE(M71,M73,M75)</f>
        <v>3.9710919192660558E-2</v>
      </c>
      <c r="N29" s="59">
        <f>AVERAGE(N71,N73,N75)</f>
        <v>4.894163728440367E-2</v>
      </c>
      <c r="O29" s="59">
        <f>AVERAGE(O71,O73,O75)</f>
        <v>5.8583979743119262E-2</v>
      </c>
      <c r="Q29" s="42">
        <f>AVERAGE(Q71,Q73,Q75)</f>
        <v>10.462910837817065</v>
      </c>
      <c r="R29" s="42">
        <f>AVERAGE(R71,R73,R75)</f>
        <v>12.906292851652575</v>
      </c>
      <c r="S29" s="42">
        <f>AVERAGE(S71,S73,S75)</f>
        <v>15.450028055342045</v>
      </c>
      <c r="U29" s="59">
        <f t="shared" si="0"/>
        <v>3.5700942221567687E-2</v>
      </c>
      <c r="V29" s="59">
        <f t="shared" si="1"/>
        <v>4.4038109712842874E-2</v>
      </c>
      <c r="W29" s="59">
        <f t="shared" si="2"/>
        <v>5.2717696583224012E-2</v>
      </c>
    </row>
    <row r="30" spans="2:23">
      <c r="B30" s="56" t="s">
        <v>64</v>
      </c>
      <c r="C30" s="57">
        <v>6</v>
      </c>
      <c r="D30" s="58" t="s">
        <v>72</v>
      </c>
      <c r="E30" s="57">
        <v>4</v>
      </c>
      <c r="M30" s="59">
        <f>AVERAGE(M29,M31)</f>
        <v>3.6491250055045873E-2</v>
      </c>
      <c r="N30" s="59">
        <f>AVERAGE(N29,N31)</f>
        <v>4.6668537541284402E-2</v>
      </c>
      <c r="O30" s="59">
        <f>AVERAGE(O29,O31)</f>
        <v>5.6489195009174306E-2</v>
      </c>
      <c r="Q30" s="42">
        <f>AVERAGE(Q29,Q31)</f>
        <v>9.5510057647963116</v>
      </c>
      <c r="R30" s="42">
        <f>AVERAGE(R29,R31)</f>
        <v>12.016203689469638</v>
      </c>
      <c r="S30" s="42">
        <f>AVERAGE(S29,S31)</f>
        <v>14.531578209069947</v>
      </c>
      <c r="U30" s="59">
        <f t="shared" si="0"/>
        <v>3.2589392211431055E-2</v>
      </c>
      <c r="V30" s="59">
        <f t="shared" si="1"/>
        <v>4.1000998698164051E-2</v>
      </c>
      <c r="W30" s="59">
        <f t="shared" si="2"/>
        <v>4.958381487445003E-2</v>
      </c>
    </row>
    <row r="31" spans="2:23">
      <c r="B31" s="56" t="s">
        <v>64</v>
      </c>
      <c r="C31" s="57">
        <v>7</v>
      </c>
      <c r="D31" s="58"/>
      <c r="E31" s="57">
        <v>4</v>
      </c>
      <c r="M31" s="59">
        <f>M77</f>
        <v>3.3271580917431189E-2</v>
      </c>
      <c r="N31" s="59">
        <f>N77</f>
        <v>4.4395437798165134E-2</v>
      </c>
      <c r="O31" s="59">
        <f>O77</f>
        <v>5.4394410275229343E-2</v>
      </c>
      <c r="Q31" s="42">
        <f>Q77</f>
        <v>8.6391006917755568</v>
      </c>
      <c r="R31" s="42">
        <f>R77</f>
        <v>11.126114527286703</v>
      </c>
      <c r="S31" s="42">
        <f>S77</f>
        <v>13.613128362797848</v>
      </c>
      <c r="U31" s="59">
        <f t="shared" si="0"/>
        <v>2.9477842201294416E-2</v>
      </c>
      <c r="V31" s="59">
        <f t="shared" si="1"/>
        <v>3.7963887683485235E-2</v>
      </c>
      <c r="W31" s="59">
        <f t="shared" si="2"/>
        <v>4.6449933165676055E-2</v>
      </c>
    </row>
    <row r="32" spans="2:23">
      <c r="K32" s="61"/>
      <c r="M32" s="63" t="e">
        <f>LOOKUP('Pool Energy Use Calculator'!$C$11,$C23:$C31,M23:M31)</f>
        <v>#N/A</v>
      </c>
      <c r="N32" s="63" t="e">
        <f>LOOKUP('Pool Energy Use Calculator'!$C$11,$C23:$C31,N23:N31)</f>
        <v>#N/A</v>
      </c>
      <c r="O32" s="63" t="e">
        <f>LOOKUP('Pool Energy Use Calculator'!$C$11,$C23:$C31,O23:O31)</f>
        <v>#N/A</v>
      </c>
      <c r="Q32" s="63" t="e">
        <f>LOOKUP('Pool Energy Use Calculator'!$C$11,$C23:$C31,Q23:Q31)</f>
        <v>#N/A</v>
      </c>
      <c r="R32" s="63" t="e">
        <f>LOOKUP('Pool Energy Use Calculator'!$C$11,$C23:$C31,R23:R31)</f>
        <v>#N/A</v>
      </c>
      <c r="S32" s="63" t="e">
        <f>LOOKUP('Pool Energy Use Calculator'!$C$11,$C23:$C31,S23:S31)</f>
        <v>#N/A</v>
      </c>
      <c r="U32" s="63" t="e">
        <f>LOOKUP('Pool Energy Use Calculator'!$C$11,$C23:$C31,U23:U31)</f>
        <v>#N/A</v>
      </c>
      <c r="V32" s="63" t="e">
        <f>LOOKUP('Pool Energy Use Calculator'!$C$11,$C23:$C31,V23:V31)</f>
        <v>#N/A</v>
      </c>
      <c r="W32" s="63" t="e">
        <f>LOOKUP('Pool Energy Use Calculator'!$C$11,$C23:$C31,W23:W31)</f>
        <v>#N/A</v>
      </c>
    </row>
    <row r="33" spans="2:23">
      <c r="K33" s="61" t="s">
        <v>77</v>
      </c>
      <c r="M33" s="65" t="e">
        <f>IF('Pool Energy Use Calculator'!C30="not sure (use default)",M32,IF('Pool Energy Use Calculator'!C30=78,M32,IF('Pool Energy Use Calculator'!C30=80,N32,IF('Pool Energy Use Calculator'!C30=82,O32))))</f>
        <v>#N/A</v>
      </c>
      <c r="Q33" s="122" t="e">
        <f>U33*293.071</f>
        <v>#N/A</v>
      </c>
      <c r="U33" s="65" t="e">
        <f>IF('Pool Energy Use Calculator'!C30="not sure (use default)",U32,IF('Pool Energy Use Calculator'!C30=78,U32,IF('Pool Energy Use Calculator'!C30=80,V32,IF('Pool Energy Use Calculator'!C30=82,W32))))</f>
        <v>#N/A</v>
      </c>
    </row>
    <row r="34" spans="2:23">
      <c r="K34" s="61" t="s">
        <v>76</v>
      </c>
      <c r="M34" s="65" t="e">
        <f>IF('Pool Energy Use Calculator'!C30="not sure (use default)",M35,IF('Pool Energy Use Calculator'!C30=78,M35,IF('Pool Energy Use Calculator'!C30=80,N35,IF('Pool Energy Use Calculator'!C30=82,O35))))</f>
        <v>#N/A</v>
      </c>
      <c r="U34" s="65" t="e">
        <f>IF('Pool Energy Use Calculator'!C30="not sure (use default)",U35,IF('Pool Energy Use Calculator'!C30=78,U35,IF('Pool Energy Use Calculator'!C30=80,V35,IF('Pool Energy Use Calculator'!C30=82,W35))))</f>
        <v>#N/A</v>
      </c>
    </row>
    <row r="35" spans="2:23">
      <c r="E35" s="64" t="e">
        <f>LOOKUP('Pool Energy Use Calculator'!$C$11,$C36:$C44,E36:E44)</f>
        <v>#N/A</v>
      </c>
      <c r="F35" t="s">
        <v>78</v>
      </c>
      <c r="K35" s="61"/>
      <c r="M35" s="62" t="e">
        <f>LOOKUP('Pool Energy Use Calculator'!$C$11,$C36:$C44,M36:M44)</f>
        <v>#N/A</v>
      </c>
      <c r="N35" s="62" t="e">
        <f>LOOKUP('Pool Energy Use Calculator'!$C$11,$C36:$C44,N36:N44)</f>
        <v>#N/A</v>
      </c>
      <c r="O35" s="62" t="e">
        <f>LOOKUP('Pool Energy Use Calculator'!$C$11,$C36:$C44,O36:O44)</f>
        <v>#N/A</v>
      </c>
      <c r="Q35" s="62" t="e">
        <f>LOOKUP('Pool Energy Use Calculator'!$C$11,$C36:$C44,Q36:Q44)</f>
        <v>#N/A</v>
      </c>
      <c r="R35" s="62" t="e">
        <f>LOOKUP('Pool Energy Use Calculator'!$C$11,$C36:$C44,R36:R44)</f>
        <v>#N/A</v>
      </c>
      <c r="S35" s="62" t="e">
        <f>LOOKUP('Pool Energy Use Calculator'!$C$11,$C36:$C44,S36:S44)</f>
        <v>#N/A</v>
      </c>
      <c r="U35" s="62" t="e">
        <f>LOOKUP('Pool Energy Use Calculator'!$C$11,$C36:$C44,U36:U44)</f>
        <v>#N/A</v>
      </c>
      <c r="V35" s="62" t="e">
        <f>LOOKUP('Pool Energy Use Calculator'!$C$11,$C36:$C44,V36:V44)</f>
        <v>#N/A</v>
      </c>
      <c r="W35" s="62" t="e">
        <f>LOOKUP('Pool Energy Use Calculator'!$C$11,$C36:$C44,W36:W44)</f>
        <v>#N/A</v>
      </c>
    </row>
    <row r="36" spans="2:23">
      <c r="B36" s="53" t="s">
        <v>65</v>
      </c>
      <c r="C36" s="54">
        <v>1</v>
      </c>
      <c r="D36" s="55"/>
      <c r="E36" s="54">
        <v>12</v>
      </c>
      <c r="M36" s="59">
        <f>M54</f>
        <v>3.466310458715597E-3</v>
      </c>
      <c r="N36" s="59">
        <f>N54</f>
        <v>4.8661666055045882E-3</v>
      </c>
      <c r="O36" s="59">
        <f>O54</f>
        <v>6.6659816513761462E-3</v>
      </c>
      <c r="Q36" s="40">
        <f>Q54</f>
        <v>0.93808416602613398</v>
      </c>
      <c r="R36" s="40">
        <f>R54</f>
        <v>1.3089546502690239</v>
      </c>
      <c r="S36" s="40">
        <f>S54</f>
        <v>1.7889046887009992</v>
      </c>
      <c r="U36" s="59">
        <f t="shared" ref="U36:U44" si="3">Q36/293.071</f>
        <v>3.200876804686011E-3</v>
      </c>
      <c r="V36" s="59">
        <f t="shared" ref="V36:V44" si="4">R36/293.071</f>
        <v>4.4663397274688514E-3</v>
      </c>
      <c r="W36" s="59">
        <f t="shared" ref="W36:W44" si="5">S36/293.071</f>
        <v>6.1039976275407632E-3</v>
      </c>
    </row>
    <row r="37" spans="2:23">
      <c r="B37" s="53" t="s">
        <v>65</v>
      </c>
      <c r="C37" s="54">
        <v>2</v>
      </c>
      <c r="D37" s="55"/>
      <c r="E37" s="54">
        <v>8</v>
      </c>
      <c r="M37" s="59">
        <f>M56</f>
        <v>1.1998766972477065E-3</v>
      </c>
      <c r="N37" s="59">
        <f>N56</f>
        <v>2.0997842201834864E-3</v>
      </c>
      <c r="O37" s="59">
        <f>O56</f>
        <v>3.1996711926605506E-3</v>
      </c>
      <c r="Q37" s="40">
        <f>Q56</f>
        <v>0.2945147963105304</v>
      </c>
      <c r="R37" s="40">
        <f>R56</f>
        <v>0.55630572636433517</v>
      </c>
      <c r="S37" s="40">
        <f>S56</f>
        <v>0.81809665641814011</v>
      </c>
      <c r="U37" s="59">
        <f t="shared" si="3"/>
        <v>1.0049264386804916E-3</v>
      </c>
      <c r="V37" s="59">
        <f t="shared" si="4"/>
        <v>1.898194384174262E-3</v>
      </c>
      <c r="W37" s="59">
        <f t="shared" si="5"/>
        <v>2.7914623296680327E-3</v>
      </c>
    </row>
    <row r="38" spans="2:23">
      <c r="B38" s="53" t="s">
        <v>65</v>
      </c>
      <c r="C38" s="54" t="s">
        <v>34</v>
      </c>
      <c r="D38" s="55" t="s">
        <v>68</v>
      </c>
      <c r="E38" s="54">
        <v>7</v>
      </c>
      <c r="M38" s="59">
        <f>AVERAGE(M58,M60)</f>
        <v>3.5996300917431195E-3</v>
      </c>
      <c r="N38" s="59">
        <f>AVERAGE(N58,N60)</f>
        <v>5.0280547313237226E-3</v>
      </c>
      <c r="O38" s="59">
        <f>AVERAGE(O58,O60)</f>
        <v>7.1421231979030136E-3</v>
      </c>
      <c r="Q38" s="40">
        <f>AVERAGE(Q58,Q60)</f>
        <v>0.91626825518831678</v>
      </c>
      <c r="R38" s="40">
        <f>AVERAGE(R58,R60)</f>
        <v>1.2902552981223234</v>
      </c>
      <c r="S38" s="40">
        <f>AVERAGE(S58,S60)</f>
        <v>1.8512358625233338</v>
      </c>
      <c r="U38" s="59">
        <f t="shared" si="3"/>
        <v>3.1264378092281963E-3</v>
      </c>
      <c r="V38" s="59">
        <f t="shared" si="4"/>
        <v>4.4025348742192964E-3</v>
      </c>
      <c r="W38" s="59">
        <f t="shared" si="5"/>
        <v>6.3166804717059476E-3</v>
      </c>
    </row>
    <row r="39" spans="2:23">
      <c r="B39" s="53" t="s">
        <v>65</v>
      </c>
      <c r="C39" s="54" t="s">
        <v>36</v>
      </c>
      <c r="D39" s="55"/>
      <c r="E39" s="54">
        <v>6</v>
      </c>
      <c r="M39" s="59">
        <f>M60</f>
        <v>4.5709588466579295E-3</v>
      </c>
      <c r="N39" s="59">
        <f>N60</f>
        <v>6.0565204718217563E-3</v>
      </c>
      <c r="O39" s="59">
        <f>O60</f>
        <v>8.4562738663171693E-3</v>
      </c>
      <c r="Q39" s="40">
        <f>Q60</f>
        <v>1.1593598330954211</v>
      </c>
      <c r="R39" s="40">
        <f>R60</f>
        <v>1.533346876029428</v>
      </c>
      <c r="S39" s="40">
        <f>S60</f>
        <v>2.1691248490172397</v>
      </c>
      <c r="U39" s="59">
        <f t="shared" si="3"/>
        <v>3.9559009014724115E-3</v>
      </c>
      <c r="V39" s="59">
        <f t="shared" si="4"/>
        <v>5.231997966463512E-3</v>
      </c>
      <c r="W39" s="59">
        <f t="shared" si="5"/>
        <v>7.4013629769483832E-3</v>
      </c>
    </row>
    <row r="40" spans="2:23" ht="24">
      <c r="B40" s="53" t="s">
        <v>65</v>
      </c>
      <c r="C40" s="54" t="s">
        <v>47</v>
      </c>
      <c r="D40" s="55" t="s">
        <v>69</v>
      </c>
      <c r="E40" s="54">
        <v>6</v>
      </c>
      <c r="M40" s="59">
        <f>M62</f>
        <v>2.799712293577982E-3</v>
      </c>
      <c r="N40" s="59">
        <f>N62</f>
        <v>5.066146055045872E-3</v>
      </c>
      <c r="O40" s="59">
        <f>O62</f>
        <v>7.8658583486238536E-3</v>
      </c>
      <c r="Q40" s="40">
        <f>Q62</f>
        <v>0.74174096848578019</v>
      </c>
      <c r="R40" s="40">
        <f>R62</f>
        <v>1.3525864719446581</v>
      </c>
      <c r="S40" s="40">
        <f>S62</f>
        <v>2.0943274404304382</v>
      </c>
      <c r="U40" s="59">
        <f t="shared" si="3"/>
        <v>2.5309258455656824E-3</v>
      </c>
      <c r="V40" s="59">
        <f t="shared" si="4"/>
        <v>4.61521771838448E-3</v>
      </c>
      <c r="W40" s="59">
        <f t="shared" si="5"/>
        <v>7.1461435639501624E-3</v>
      </c>
    </row>
    <row r="41" spans="2:23" ht="24">
      <c r="B41" s="53" t="s">
        <v>65</v>
      </c>
      <c r="C41" s="54">
        <v>4</v>
      </c>
      <c r="D41" s="55" t="s">
        <v>70</v>
      </c>
      <c r="E41" s="54">
        <v>6</v>
      </c>
      <c r="M41" s="59">
        <f>AVERAGE(M66,M68,M70)</f>
        <v>6.3637904831804299E-3</v>
      </c>
      <c r="N41" s="59">
        <f>AVERAGE(N66,N68,N70)</f>
        <v>8.9946312415902143E-3</v>
      </c>
      <c r="O41" s="59">
        <f>AVERAGE(O66,O68,O70)</f>
        <v>1.1821007461773699E-2</v>
      </c>
      <c r="Q41" s="40">
        <f>AVERAGE(Q66,Q68,Q70)</f>
        <v>1.660918011785806</v>
      </c>
      <c r="R41" s="40">
        <f>AVERAGE(R66,R68,R70)</f>
        <v>2.3706623110427878</v>
      </c>
      <c r="S41" s="40">
        <f>AVERAGE(S66,S68,S70)</f>
        <v>3.1124032795285679</v>
      </c>
      <c r="U41" s="59">
        <f t="shared" si="3"/>
        <v>5.6672888541882543E-3</v>
      </c>
      <c r="V41" s="59">
        <f t="shared" si="4"/>
        <v>8.0890375064158089E-3</v>
      </c>
      <c r="W41" s="59">
        <f t="shared" si="5"/>
        <v>1.061996335198149E-2</v>
      </c>
    </row>
    <row r="42" spans="2:23">
      <c r="B42" s="53" t="s">
        <v>65</v>
      </c>
      <c r="C42" s="54">
        <v>5</v>
      </c>
      <c r="D42" s="55" t="s">
        <v>71</v>
      </c>
      <c r="E42" s="54">
        <v>4</v>
      </c>
      <c r="M42" s="59">
        <f>AVERAGE(M72,M74,M76)</f>
        <v>4.3978813944954122E-3</v>
      </c>
      <c r="N42" s="59">
        <f>AVERAGE(N72,N74,N76)</f>
        <v>6.1060391926605504E-3</v>
      </c>
      <c r="O42" s="59">
        <f>AVERAGE(O72,O74,O76)</f>
        <v>8.4258008073394477E-3</v>
      </c>
      <c r="Q42" s="40">
        <f>AVERAGE(Q72,Q74,Q76)</f>
        <v>1.1955119139123751</v>
      </c>
      <c r="R42" s="40">
        <f>AVERAGE(R72,R74,R76)</f>
        <v>1.6798251345119137</v>
      </c>
      <c r="S42" s="40">
        <f>AVERAGE(S72,S74,S76)</f>
        <v>2.3604815526518066</v>
      </c>
      <c r="U42" s="59">
        <f t="shared" si="3"/>
        <v>4.0792569510882176E-3</v>
      </c>
      <c r="V42" s="59">
        <f t="shared" si="4"/>
        <v>5.7318026502516922E-3</v>
      </c>
      <c r="W42" s="59">
        <f t="shared" si="5"/>
        <v>8.0542993085354966E-3</v>
      </c>
    </row>
    <row r="43" spans="2:23">
      <c r="B43" s="53" t="s">
        <v>65</v>
      </c>
      <c r="C43" s="54">
        <v>6</v>
      </c>
      <c r="D43" s="55" t="s">
        <v>72</v>
      </c>
      <c r="E43" s="54">
        <v>4</v>
      </c>
      <c r="M43" s="59">
        <f>AVERAGE(M42,M44)</f>
        <v>4.5986940917431187E-3</v>
      </c>
      <c r="N43" s="59">
        <f>AVERAGE(N42,N44)</f>
        <v>6.152701064220183E-3</v>
      </c>
      <c r="O43" s="59">
        <f>AVERAGE(O42,O44)</f>
        <v>9.0124071926605508E-3</v>
      </c>
      <c r="Q43" s="40">
        <f>AVERAGE(Q42,Q44)</f>
        <v>1.2522332820906992</v>
      </c>
      <c r="R43" s="40">
        <f>AVERAGE(R42,R44)</f>
        <v>1.6580092236740969</v>
      </c>
      <c r="S43" s="40">
        <f>AVERAGE(S42,S44)</f>
        <v>2.4237476940814764</v>
      </c>
      <c r="U43" s="59">
        <f t="shared" si="3"/>
        <v>4.2727983392785336E-3</v>
      </c>
      <c r="V43" s="59">
        <f t="shared" si="4"/>
        <v>5.6573636547938783E-3</v>
      </c>
      <c r="W43" s="59">
        <f t="shared" si="5"/>
        <v>8.2701723953631581E-3</v>
      </c>
    </row>
    <row r="44" spans="2:23">
      <c r="B44" s="53" t="s">
        <v>65</v>
      </c>
      <c r="C44" s="54">
        <v>7</v>
      </c>
      <c r="D44" s="55"/>
      <c r="E44" s="54">
        <v>4</v>
      </c>
      <c r="M44" s="60">
        <f>M78</f>
        <v>4.7995067889908261E-3</v>
      </c>
      <c r="N44" s="60">
        <f>N78</f>
        <v>6.1993629357798164E-3</v>
      </c>
      <c r="O44" s="60">
        <f>O78</f>
        <v>9.5990135779816521E-3</v>
      </c>
      <c r="Q44" s="42">
        <f>Q78</f>
        <v>1.3089546502690235</v>
      </c>
      <c r="R44" s="42">
        <f>R78</f>
        <v>1.6361933128362802</v>
      </c>
      <c r="S44" s="42">
        <f>S78</f>
        <v>2.4870138355111457</v>
      </c>
      <c r="U44" s="59">
        <f t="shared" si="3"/>
        <v>4.4663397274688496E-3</v>
      </c>
      <c r="V44" s="59">
        <f t="shared" si="4"/>
        <v>5.5829246593360653E-3</v>
      </c>
      <c r="W44" s="59">
        <f t="shared" si="5"/>
        <v>8.4860454821908196E-3</v>
      </c>
    </row>
    <row r="48" spans="2:23" ht="18.75">
      <c r="B48" s="52" t="s">
        <v>73</v>
      </c>
    </row>
    <row r="49" spans="2:28">
      <c r="F49" s="169" t="s">
        <v>55</v>
      </c>
      <c r="G49" s="170"/>
      <c r="H49" s="170"/>
      <c r="I49" s="170"/>
      <c r="J49" s="170"/>
      <c r="K49" s="171"/>
      <c r="M49" s="157" t="s">
        <v>40</v>
      </c>
      <c r="N49" s="158"/>
      <c r="O49" s="159"/>
      <c r="Q49" s="157" t="s">
        <v>41</v>
      </c>
      <c r="R49" s="158"/>
      <c r="S49" s="159"/>
      <c r="U49" s="157" t="s">
        <v>41</v>
      </c>
      <c r="V49" s="158"/>
      <c r="W49" s="159"/>
      <c r="Y49" s="3"/>
    </row>
    <row r="50" spans="2:28">
      <c r="B50" s="4"/>
      <c r="C50" s="4"/>
      <c r="D50" s="4"/>
      <c r="E50" s="174" t="s">
        <v>59</v>
      </c>
      <c r="F50" s="19"/>
      <c r="G50" s="36" t="s">
        <v>40</v>
      </c>
      <c r="H50" s="20"/>
      <c r="I50" s="20"/>
      <c r="J50" s="36" t="s">
        <v>41</v>
      </c>
      <c r="K50" s="21"/>
      <c r="M50" s="163" t="s">
        <v>56</v>
      </c>
      <c r="N50" s="164"/>
      <c r="O50" s="165"/>
      <c r="Q50" s="163" t="s">
        <v>56</v>
      </c>
      <c r="R50" s="164"/>
      <c r="S50" s="165"/>
      <c r="U50" s="163" t="s">
        <v>56</v>
      </c>
      <c r="V50" s="164"/>
      <c r="W50" s="165"/>
      <c r="Y50" s="3"/>
    </row>
    <row r="51" spans="2:28" ht="14.45" customHeight="1">
      <c r="B51" s="172" t="s">
        <v>0</v>
      </c>
      <c r="C51" s="172" t="s">
        <v>29</v>
      </c>
      <c r="D51" s="172" t="s">
        <v>1</v>
      </c>
      <c r="E51" s="175"/>
      <c r="F51" s="22"/>
      <c r="G51" s="23" t="s">
        <v>2</v>
      </c>
      <c r="H51" s="23"/>
      <c r="J51" s="23" t="s">
        <v>2</v>
      </c>
      <c r="K51" s="37"/>
      <c r="M51" s="166" t="s">
        <v>60</v>
      </c>
      <c r="N51" s="167"/>
      <c r="O51" s="168"/>
      <c r="Q51" s="160" t="s">
        <v>61</v>
      </c>
      <c r="R51" s="161"/>
      <c r="S51" s="162"/>
      <c r="U51" s="160" t="s">
        <v>62</v>
      </c>
      <c r="V51" s="161"/>
      <c r="W51" s="162"/>
    </row>
    <row r="52" spans="2:28">
      <c r="B52" s="172"/>
      <c r="C52" s="173"/>
      <c r="D52" s="172"/>
      <c r="E52" s="176"/>
      <c r="F52" s="38" t="s">
        <v>3</v>
      </c>
      <c r="G52" s="24" t="s">
        <v>4</v>
      </c>
      <c r="H52" s="24" t="s">
        <v>5</v>
      </c>
      <c r="I52" s="24" t="s">
        <v>3</v>
      </c>
      <c r="J52" s="24" t="s">
        <v>4</v>
      </c>
      <c r="K52" s="39" t="s">
        <v>5</v>
      </c>
      <c r="M52" s="25" t="s">
        <v>3</v>
      </c>
      <c r="N52" s="25" t="s">
        <v>4</v>
      </c>
      <c r="O52" s="25" t="s">
        <v>5</v>
      </c>
      <c r="Q52" s="25" t="s">
        <v>3</v>
      </c>
      <c r="R52" s="25" t="s">
        <v>4</v>
      </c>
      <c r="S52" s="25" t="s">
        <v>5</v>
      </c>
      <c r="U52" s="25" t="s">
        <v>3</v>
      </c>
      <c r="V52" s="25" t="s">
        <v>4</v>
      </c>
      <c r="W52" s="25" t="s">
        <v>5</v>
      </c>
    </row>
    <row r="53" spans="2:28">
      <c r="B53" s="26" t="s">
        <v>6</v>
      </c>
      <c r="C53" s="26" t="s">
        <v>30</v>
      </c>
      <c r="D53" s="26" t="s">
        <v>7</v>
      </c>
      <c r="E53" s="49">
        <v>12</v>
      </c>
      <c r="F53" s="27">
        <v>2910.0009599999998</v>
      </c>
      <c r="G53" s="27">
        <v>3880.00128</v>
      </c>
      <c r="H53" s="27">
        <v>4904.4960000000001</v>
      </c>
      <c r="I53" s="27">
        <v>1498.596</v>
      </c>
      <c r="J53" s="27">
        <v>1989.0455999999999</v>
      </c>
      <c r="K53" s="27">
        <v>2513.5542</v>
      </c>
      <c r="M53" s="40">
        <f t="shared" ref="M53:M78" si="6">F53/1.09/1000*0.8/10/$E53</f>
        <v>1.7798171009174309E-2</v>
      </c>
      <c r="N53" s="40">
        <f t="shared" ref="N53:N78" si="7">G53/1.09/1000*0.8/10/$E53</f>
        <v>2.3730894678899078E-2</v>
      </c>
      <c r="O53" s="40">
        <f t="shared" ref="O53:O78" si="8">H53/1.09/1000*0.8/10/$E53</f>
        <v>2.9996917431192659E-2</v>
      </c>
      <c r="Q53" s="40">
        <f t="shared" ref="Q53:Q78" si="9">I53/0.1301/1000*5/$E53</f>
        <v>4.7995003843197548</v>
      </c>
      <c r="R53" s="40">
        <f t="shared" ref="R53:R78" si="10">J53/0.1301/1000*5/$E53</f>
        <v>6.3702459646425824</v>
      </c>
      <c r="S53" s="40">
        <f t="shared" ref="S53:S78" si="11">K53/0.1301/1000*5/$E53</f>
        <v>8.050071099154497</v>
      </c>
      <c r="U53" s="40">
        <f>Q53/293</f>
        <v>1.6380547386756841E-2</v>
      </c>
      <c r="V53" s="40">
        <f t="shared" ref="V53:V78" si="12">R53/293</f>
        <v>2.1741453804240897E-2</v>
      </c>
      <c r="W53" s="40">
        <f t="shared" ref="W53:W78" si="13">S53/293</f>
        <v>2.7474645389605791E-2</v>
      </c>
    </row>
    <row r="54" spans="2:28">
      <c r="B54" s="28" t="s">
        <v>8</v>
      </c>
      <c r="C54" s="28" t="s">
        <v>31</v>
      </c>
      <c r="D54" s="28" t="s">
        <v>7</v>
      </c>
      <c r="E54" s="41">
        <v>12</v>
      </c>
      <c r="F54" s="29">
        <v>566.74176</v>
      </c>
      <c r="G54" s="29">
        <v>795.61824000000001</v>
      </c>
      <c r="H54" s="29">
        <v>1089.8879999999999</v>
      </c>
      <c r="I54" s="29">
        <v>292.9074</v>
      </c>
      <c r="J54" s="29">
        <v>408.70800000000003</v>
      </c>
      <c r="K54" s="29">
        <v>558.56759999999997</v>
      </c>
      <c r="M54" s="40">
        <f t="shared" si="6"/>
        <v>3.466310458715597E-3</v>
      </c>
      <c r="N54" s="40">
        <f t="shared" si="7"/>
        <v>4.8661666055045882E-3</v>
      </c>
      <c r="O54" s="40">
        <f t="shared" si="8"/>
        <v>6.6659816513761462E-3</v>
      </c>
      <c r="Q54" s="40">
        <f t="shared" si="9"/>
        <v>0.93808416602613398</v>
      </c>
      <c r="R54" s="40">
        <f t="shared" si="10"/>
        <v>1.3089546502690239</v>
      </c>
      <c r="S54" s="40">
        <f t="shared" si="11"/>
        <v>1.7889046887009992</v>
      </c>
      <c r="U54" s="40">
        <f t="shared" ref="U54:U78" si="14">Q54/293</f>
        <v>3.2016524437752012E-3</v>
      </c>
      <c r="V54" s="40">
        <f t="shared" si="12"/>
        <v>4.4674220145700478E-3</v>
      </c>
      <c r="W54" s="40">
        <f t="shared" si="13"/>
        <v>6.1054767532457309E-3</v>
      </c>
    </row>
    <row r="55" spans="2:28">
      <c r="B55" s="26" t="s">
        <v>9</v>
      </c>
      <c r="C55" s="26" t="s">
        <v>32</v>
      </c>
      <c r="D55" s="26" t="s">
        <v>10</v>
      </c>
      <c r="E55" s="49">
        <v>8</v>
      </c>
      <c r="F55" s="27">
        <v>1885.5062399999999</v>
      </c>
      <c r="G55" s="27">
        <v>2419.5513599999999</v>
      </c>
      <c r="H55" s="27">
        <v>3018.9897599999999</v>
      </c>
      <c r="I55" s="27">
        <v>926.40480000000002</v>
      </c>
      <c r="J55" s="27">
        <v>1192.0650000000001</v>
      </c>
      <c r="K55" s="27">
        <v>1484.9724000000001</v>
      </c>
      <c r="M55" s="40">
        <f t="shared" si="6"/>
        <v>1.72982223853211E-2</v>
      </c>
      <c r="N55" s="40">
        <f t="shared" si="7"/>
        <v>2.2197718899082567E-2</v>
      </c>
      <c r="O55" s="40">
        <f t="shared" si="8"/>
        <v>2.7697153761467891E-2</v>
      </c>
      <c r="Q55" s="40">
        <f t="shared" si="9"/>
        <v>4.4504458109146814</v>
      </c>
      <c r="R55" s="40">
        <f t="shared" si="10"/>
        <v>5.72667659492698</v>
      </c>
      <c r="S55" s="40">
        <f t="shared" si="11"/>
        <v>7.1338028439661807</v>
      </c>
      <c r="U55" s="40">
        <f t="shared" si="14"/>
        <v>1.5189234849538161E-2</v>
      </c>
      <c r="V55" s="40">
        <f t="shared" si="12"/>
        <v>1.9544971313743959E-2</v>
      </c>
      <c r="W55" s="40">
        <f t="shared" si="13"/>
        <v>2.4347449979406761E-2</v>
      </c>
    </row>
    <row r="56" spans="2:28">
      <c r="B56" s="28" t="s">
        <v>11</v>
      </c>
      <c r="C56" s="28" t="s">
        <v>33</v>
      </c>
      <c r="D56" s="28" t="s">
        <v>10</v>
      </c>
      <c r="E56" s="41">
        <v>8</v>
      </c>
      <c r="F56" s="29">
        <v>130.78656000000001</v>
      </c>
      <c r="G56" s="29">
        <v>228.87648000000002</v>
      </c>
      <c r="H56" s="29">
        <v>348.76416</v>
      </c>
      <c r="I56" s="29">
        <v>61.306200000000004</v>
      </c>
      <c r="J56" s="29">
        <v>115.8006</v>
      </c>
      <c r="K56" s="29">
        <v>170.29500000000002</v>
      </c>
      <c r="M56" s="40">
        <f t="shared" si="6"/>
        <v>1.1998766972477065E-3</v>
      </c>
      <c r="N56" s="40">
        <f t="shared" si="7"/>
        <v>2.0997842201834864E-3</v>
      </c>
      <c r="O56" s="40">
        <f t="shared" si="8"/>
        <v>3.1996711926605506E-3</v>
      </c>
      <c r="Q56" s="40">
        <f t="shared" si="9"/>
        <v>0.2945147963105304</v>
      </c>
      <c r="R56" s="40">
        <f t="shared" si="10"/>
        <v>0.55630572636433517</v>
      </c>
      <c r="S56" s="40">
        <f t="shared" si="11"/>
        <v>0.81809665641814011</v>
      </c>
      <c r="U56" s="40">
        <f t="shared" si="14"/>
        <v>1.0051699532782608E-3</v>
      </c>
      <c r="V56" s="40">
        <f t="shared" si="12"/>
        <v>1.8986543561922702E-3</v>
      </c>
      <c r="W56" s="40">
        <f t="shared" si="13"/>
        <v>2.7921387591062804E-3</v>
      </c>
    </row>
    <row r="57" spans="2:28">
      <c r="B57" s="26" t="s">
        <v>12</v>
      </c>
      <c r="C57" s="26" t="s">
        <v>34</v>
      </c>
      <c r="D57" s="26" t="s">
        <v>13</v>
      </c>
      <c r="E57" s="49">
        <v>7</v>
      </c>
      <c r="F57" s="27">
        <v>2059.88832</v>
      </c>
      <c r="G57" s="27">
        <v>2615.7312000000002</v>
      </c>
      <c r="H57" s="27">
        <v>3345.9561600000002</v>
      </c>
      <c r="I57" s="27">
        <v>1035.3936000000001</v>
      </c>
      <c r="J57" s="27">
        <v>1321.4892</v>
      </c>
      <c r="K57" s="27">
        <v>1689.3263999999999</v>
      </c>
      <c r="M57" s="40">
        <f t="shared" si="6"/>
        <v>2.1597780550458714E-2</v>
      </c>
      <c r="N57" s="40">
        <f t="shared" si="7"/>
        <v>2.7425753079947577E-2</v>
      </c>
      <c r="O57" s="40">
        <f t="shared" si="8"/>
        <v>3.5082109148099609E-2</v>
      </c>
      <c r="Q57" s="40">
        <f t="shared" si="9"/>
        <v>5.6846030525969047</v>
      </c>
      <c r="R57" s="40">
        <f t="shared" si="10"/>
        <v>7.2553486329197323</v>
      </c>
      <c r="S57" s="40">
        <f t="shared" si="11"/>
        <v>9.274878664763369</v>
      </c>
      <c r="U57" s="40">
        <f t="shared" si="14"/>
        <v>1.9401375606132781E-2</v>
      </c>
      <c r="V57" s="40">
        <f t="shared" si="12"/>
        <v>2.4762282023616834E-2</v>
      </c>
      <c r="W57" s="40">
        <f t="shared" si="13"/>
        <v>3.1654875988953481E-2</v>
      </c>
      <c r="Z57" s="1"/>
      <c r="AA57" s="1"/>
      <c r="AB57" s="1"/>
    </row>
    <row r="58" spans="2:28">
      <c r="B58" s="28" t="s">
        <v>11</v>
      </c>
      <c r="C58" s="28" t="s">
        <v>35</v>
      </c>
      <c r="D58" s="28" t="s">
        <v>13</v>
      </c>
      <c r="E58" s="41">
        <v>7</v>
      </c>
      <c r="F58" s="29">
        <v>250.67424</v>
      </c>
      <c r="G58" s="29">
        <v>381.46080000000001</v>
      </c>
      <c r="H58" s="29">
        <v>555.84288000000004</v>
      </c>
      <c r="I58" s="29">
        <v>122.61240000000001</v>
      </c>
      <c r="J58" s="29">
        <v>190.7304</v>
      </c>
      <c r="K58" s="29">
        <v>279.28379999999999</v>
      </c>
      <c r="M58" s="40">
        <f t="shared" si="6"/>
        <v>2.6283013368283092E-3</v>
      </c>
      <c r="N58" s="40">
        <f t="shared" si="7"/>
        <v>3.9995889908256881E-3</v>
      </c>
      <c r="O58" s="40">
        <f t="shared" si="8"/>
        <v>5.8279725294888588E-3</v>
      </c>
      <c r="Q58" s="40">
        <f t="shared" si="9"/>
        <v>0.67317667728121233</v>
      </c>
      <c r="R58" s="40">
        <f t="shared" si="10"/>
        <v>1.0471637202152191</v>
      </c>
      <c r="S58" s="40">
        <f t="shared" si="11"/>
        <v>1.533346876029428</v>
      </c>
      <c r="U58" s="40">
        <f t="shared" si="14"/>
        <v>2.2975313217788815E-3</v>
      </c>
      <c r="V58" s="40">
        <f t="shared" si="12"/>
        <v>3.573937611656038E-3</v>
      </c>
      <c r="W58" s="40">
        <f t="shared" si="13"/>
        <v>5.2332657884963411E-3</v>
      </c>
      <c r="Z58" s="1"/>
      <c r="AA58" s="1"/>
      <c r="AB58" s="1"/>
    </row>
    <row r="59" spans="2:28">
      <c r="B59" s="26" t="s">
        <v>14</v>
      </c>
      <c r="C59" s="26" t="s">
        <v>34</v>
      </c>
      <c r="D59" s="26" t="s">
        <v>13</v>
      </c>
      <c r="E59" s="49">
        <v>7</v>
      </c>
      <c r="F59" s="27">
        <v>2321.46144</v>
      </c>
      <c r="G59" s="27">
        <v>3062.5852800000002</v>
      </c>
      <c r="H59" s="27">
        <v>3923.5968000000003</v>
      </c>
      <c r="I59" s="27">
        <v>1144.3824</v>
      </c>
      <c r="J59" s="27">
        <v>1512.2196000000001</v>
      </c>
      <c r="K59" s="27">
        <v>1941.3630000000001</v>
      </c>
      <c r="M59" s="40">
        <f t="shared" si="6"/>
        <v>2.4340355858453473E-2</v>
      </c>
      <c r="N59" s="40">
        <f t="shared" si="7"/>
        <v>3.2110985897771956E-2</v>
      </c>
      <c r="O59" s="40">
        <f t="shared" si="8"/>
        <v>4.1138629619921374E-2</v>
      </c>
      <c r="Q59" s="40">
        <f t="shared" si="9"/>
        <v>6.2829823212913141</v>
      </c>
      <c r="R59" s="40">
        <f t="shared" si="10"/>
        <v>8.3025123531349525</v>
      </c>
      <c r="S59" s="40">
        <f t="shared" si="11"/>
        <v>10.658630723619195</v>
      </c>
      <c r="U59" s="40">
        <f t="shared" si="14"/>
        <v>2.1443625669936225E-2</v>
      </c>
      <c r="V59" s="40">
        <f t="shared" si="12"/>
        <v>2.8336219635272875E-2</v>
      </c>
      <c r="W59" s="40">
        <f t="shared" si="13"/>
        <v>3.6377579261498962E-2</v>
      </c>
      <c r="Z59" s="1"/>
      <c r="AA59" s="1"/>
      <c r="AB59" s="1"/>
    </row>
    <row r="60" spans="2:28">
      <c r="B60" s="28" t="s">
        <v>11</v>
      </c>
      <c r="C60" s="28" t="s">
        <v>35</v>
      </c>
      <c r="D60" s="28" t="s">
        <v>13</v>
      </c>
      <c r="E60" s="41">
        <v>7</v>
      </c>
      <c r="F60" s="29">
        <v>435.95519999999999</v>
      </c>
      <c r="G60" s="29">
        <v>577.64063999999996</v>
      </c>
      <c r="H60" s="29">
        <v>806.51711999999998</v>
      </c>
      <c r="I60" s="29">
        <v>211.16579999999999</v>
      </c>
      <c r="J60" s="29">
        <v>279.28379999999999</v>
      </c>
      <c r="K60" s="29">
        <v>395.08440000000002</v>
      </c>
      <c r="M60" s="40">
        <f t="shared" si="6"/>
        <v>4.5709588466579295E-3</v>
      </c>
      <c r="N60" s="40">
        <f t="shared" si="7"/>
        <v>6.0565204718217563E-3</v>
      </c>
      <c r="O60" s="40">
        <f t="shared" si="8"/>
        <v>8.4562738663171693E-3</v>
      </c>
      <c r="Q60" s="40">
        <f t="shared" si="9"/>
        <v>1.1593598330954211</v>
      </c>
      <c r="R60" s="40">
        <f t="shared" si="10"/>
        <v>1.533346876029428</v>
      </c>
      <c r="S60" s="40">
        <f t="shared" si="11"/>
        <v>2.1691248490172397</v>
      </c>
      <c r="U60" s="40">
        <f t="shared" si="14"/>
        <v>3.9568594986191851E-3</v>
      </c>
      <c r="V60" s="40">
        <f t="shared" si="12"/>
        <v>5.2332657884963411E-3</v>
      </c>
      <c r="W60" s="40">
        <f t="shared" si="13"/>
        <v>7.4031564812875074E-3</v>
      </c>
      <c r="Z60" s="1"/>
      <c r="AA60" s="1"/>
      <c r="AB60" s="1"/>
    </row>
    <row r="61" spans="2:28">
      <c r="B61" s="26" t="s">
        <v>15</v>
      </c>
      <c r="C61" s="26" t="s">
        <v>36</v>
      </c>
      <c r="D61" s="26" t="s">
        <v>16</v>
      </c>
      <c r="E61" s="49">
        <v>6</v>
      </c>
      <c r="F61" s="27">
        <v>2539.4390400000002</v>
      </c>
      <c r="G61" s="27">
        <v>3236.9673600000001</v>
      </c>
      <c r="H61" s="27">
        <v>3956.2934399999999</v>
      </c>
      <c r="I61" s="27">
        <v>1294.242</v>
      </c>
      <c r="J61" s="27">
        <v>1648.4556</v>
      </c>
      <c r="K61" s="27">
        <v>2023.1046000000001</v>
      </c>
      <c r="M61" s="40">
        <f t="shared" si="6"/>
        <v>3.1063474495412847E-2</v>
      </c>
      <c r="N61" s="40">
        <f t="shared" si="7"/>
        <v>3.9595931009174308E-2</v>
      </c>
      <c r="O61" s="40">
        <f t="shared" si="8"/>
        <v>4.8395026788990825E-2</v>
      </c>
      <c r="Q61" s="40">
        <f t="shared" si="9"/>
        <v>8.2900461183704852</v>
      </c>
      <c r="R61" s="40">
        <f t="shared" si="10"/>
        <v>10.558900845503459</v>
      </c>
      <c r="S61" s="40">
        <f t="shared" si="11"/>
        <v>12.958651037663337</v>
      </c>
      <c r="U61" s="40">
        <f t="shared" si="14"/>
        <v>2.8293672758943636E-2</v>
      </c>
      <c r="V61" s="40">
        <f t="shared" si="12"/>
        <v>3.6037204250865047E-2</v>
      </c>
      <c r="W61" s="40">
        <f t="shared" si="13"/>
        <v>4.4227477944243469E-2</v>
      </c>
      <c r="Z61" s="1"/>
      <c r="AA61" s="1"/>
      <c r="AB61" s="1"/>
    </row>
    <row r="62" spans="2:28">
      <c r="B62" s="28" t="s">
        <v>11</v>
      </c>
      <c r="C62" s="28" t="s">
        <v>37</v>
      </c>
      <c r="D62" s="28" t="s">
        <v>16</v>
      </c>
      <c r="E62" s="41">
        <v>6</v>
      </c>
      <c r="F62" s="29">
        <v>228.87648000000002</v>
      </c>
      <c r="G62" s="29">
        <v>414.15744000000001</v>
      </c>
      <c r="H62" s="29">
        <v>643.03391999999997</v>
      </c>
      <c r="I62" s="29">
        <v>115.8006</v>
      </c>
      <c r="J62" s="29">
        <v>211.16579999999999</v>
      </c>
      <c r="K62" s="29">
        <v>326.96640000000002</v>
      </c>
      <c r="M62" s="40">
        <f t="shared" si="6"/>
        <v>2.799712293577982E-3</v>
      </c>
      <c r="N62" s="40">
        <f t="shared" si="7"/>
        <v>5.066146055045872E-3</v>
      </c>
      <c r="O62" s="40">
        <f t="shared" si="8"/>
        <v>7.8658583486238536E-3</v>
      </c>
      <c r="Q62" s="40">
        <f t="shared" si="9"/>
        <v>0.74174096848578019</v>
      </c>
      <c r="R62" s="40">
        <f t="shared" si="10"/>
        <v>1.3525864719446581</v>
      </c>
      <c r="S62" s="40">
        <f t="shared" si="11"/>
        <v>2.0943274404304382</v>
      </c>
      <c r="U62" s="40">
        <f t="shared" si="14"/>
        <v>2.5315391415896933E-3</v>
      </c>
      <c r="V62" s="40">
        <f t="shared" si="12"/>
        <v>4.6163360817223827E-3</v>
      </c>
      <c r="W62" s="40">
        <f t="shared" si="13"/>
        <v>7.147875223312076E-3</v>
      </c>
      <c r="Z62" s="1"/>
      <c r="AA62" s="1"/>
      <c r="AB62" s="1"/>
    </row>
    <row r="63" spans="2:28">
      <c r="B63" s="26" t="s">
        <v>26</v>
      </c>
      <c r="C63" s="26" t="s">
        <v>47</v>
      </c>
      <c r="D63" s="26" t="s">
        <v>27</v>
      </c>
      <c r="E63" s="49">
        <v>3</v>
      </c>
      <c r="F63" s="27">
        <v>2125.2815999999998</v>
      </c>
      <c r="G63" s="27">
        <v>2528.54016</v>
      </c>
      <c r="H63" s="27">
        <v>2953.5964800000002</v>
      </c>
      <c r="I63" s="27">
        <v>1089.8879999999999</v>
      </c>
      <c r="J63" s="27">
        <v>1294.242</v>
      </c>
      <c r="K63" s="27">
        <v>1512.2196000000001</v>
      </c>
      <c r="M63" s="40">
        <f t="shared" si="6"/>
        <v>5.199465688073393E-2</v>
      </c>
      <c r="N63" s="40">
        <f t="shared" si="7"/>
        <v>6.1860309724770642E-2</v>
      </c>
      <c r="O63" s="40">
        <f t="shared" si="8"/>
        <v>7.2259241100917429E-2</v>
      </c>
      <c r="Q63" s="40">
        <f t="shared" si="9"/>
        <v>13.962182936202916</v>
      </c>
      <c r="R63" s="40">
        <f t="shared" si="10"/>
        <v>16.58009223674097</v>
      </c>
      <c r="S63" s="40">
        <f t="shared" si="11"/>
        <v>19.372528823981558</v>
      </c>
      <c r="U63" s="40">
        <f t="shared" ref="U63:W64" si="15">Q63/293</f>
        <v>4.7652501488747154E-2</v>
      </c>
      <c r="V63" s="40">
        <f t="shared" si="15"/>
        <v>5.6587345517887272E-2</v>
      </c>
      <c r="W63" s="40">
        <f t="shared" si="15"/>
        <v>6.6117845815636719E-2</v>
      </c>
      <c r="Z63" s="1"/>
      <c r="AA63" s="1"/>
      <c r="AB63" s="1"/>
    </row>
    <row r="64" spans="2:28">
      <c r="B64" s="28" t="s">
        <v>11</v>
      </c>
      <c r="C64" s="28" t="s">
        <v>48</v>
      </c>
      <c r="D64" s="28" t="s">
        <v>27</v>
      </c>
      <c r="E64" s="41">
        <v>3</v>
      </c>
      <c r="F64" s="29">
        <v>261.57312000000002</v>
      </c>
      <c r="G64" s="29">
        <v>435.95519999999999</v>
      </c>
      <c r="H64" s="29">
        <v>643.03391999999997</v>
      </c>
      <c r="I64" s="29">
        <v>129.42420000000001</v>
      </c>
      <c r="J64" s="29">
        <v>224.7894</v>
      </c>
      <c r="K64" s="29">
        <v>326.96640000000002</v>
      </c>
      <c r="M64" s="40">
        <f t="shared" si="6"/>
        <v>6.3993423853211011E-3</v>
      </c>
      <c r="N64" s="40">
        <f t="shared" si="7"/>
        <v>1.0665570642201834E-2</v>
      </c>
      <c r="O64" s="40">
        <f t="shared" si="8"/>
        <v>1.5731716697247707E-2</v>
      </c>
      <c r="Q64" s="40">
        <f t="shared" si="9"/>
        <v>1.6580092236740971</v>
      </c>
      <c r="R64" s="40">
        <f t="shared" si="10"/>
        <v>2.8797002305918524</v>
      </c>
      <c r="S64" s="40">
        <f t="shared" si="11"/>
        <v>4.1886548808608763</v>
      </c>
      <c r="U64" s="40">
        <f t="shared" si="15"/>
        <v>5.658734551788727E-3</v>
      </c>
      <c r="V64" s="40">
        <f t="shared" si="15"/>
        <v>9.8283284320541033E-3</v>
      </c>
      <c r="W64" s="40">
        <f t="shared" si="15"/>
        <v>1.4295750446624152E-2</v>
      </c>
      <c r="Z64" s="1"/>
      <c r="AA64" s="1"/>
      <c r="AB64" s="1"/>
    </row>
    <row r="65" spans="2:28">
      <c r="B65" s="26" t="s">
        <v>17</v>
      </c>
      <c r="C65" s="26" t="s">
        <v>38</v>
      </c>
      <c r="D65" s="26" t="s">
        <v>16</v>
      </c>
      <c r="E65" s="49">
        <v>6</v>
      </c>
      <c r="F65" s="27">
        <v>1953.6242400000001</v>
      </c>
      <c r="G65" s="27">
        <v>2550.3379199999999</v>
      </c>
      <c r="H65" s="27">
        <v>3247.8662399999998</v>
      </c>
      <c r="I65" s="27">
        <v>974.0874</v>
      </c>
      <c r="J65" s="27">
        <v>1273.8066000000001</v>
      </c>
      <c r="K65" s="27">
        <v>1614.3966</v>
      </c>
      <c r="M65" s="40">
        <f t="shared" si="6"/>
        <v>2.3897544220183486E-2</v>
      </c>
      <c r="N65" s="40">
        <f t="shared" si="7"/>
        <v>3.1196794128440369E-2</v>
      </c>
      <c r="O65" s="40">
        <f t="shared" si="8"/>
        <v>3.9729250642201834E-2</v>
      </c>
      <c r="Q65" s="40">
        <f t="shared" si="9"/>
        <v>6.2393504996156812</v>
      </c>
      <c r="R65" s="40">
        <f t="shared" si="10"/>
        <v>8.1591506533435822</v>
      </c>
      <c r="S65" s="40">
        <f t="shared" si="11"/>
        <v>10.34074173712529</v>
      </c>
      <c r="U65" s="40">
        <f t="shared" si="14"/>
        <v>2.1294711602783897E-2</v>
      </c>
      <c r="V65" s="40">
        <f t="shared" si="12"/>
        <v>2.7846930557486629E-2</v>
      </c>
      <c r="W65" s="40">
        <f t="shared" si="13"/>
        <v>3.5292633915103379E-2</v>
      </c>
      <c r="Z65" s="1"/>
      <c r="AA65" s="1"/>
      <c r="AB65" s="1"/>
    </row>
    <row r="66" spans="2:28">
      <c r="B66" s="28" t="s">
        <v>11</v>
      </c>
      <c r="C66" s="28" t="s">
        <v>39</v>
      </c>
      <c r="D66" s="28" t="s">
        <v>16</v>
      </c>
      <c r="E66" s="41">
        <v>6</v>
      </c>
      <c r="F66" s="29">
        <v>392.35968000000003</v>
      </c>
      <c r="G66" s="29">
        <v>566.74176</v>
      </c>
      <c r="H66" s="29">
        <v>741.12383999999997</v>
      </c>
      <c r="I66" s="29">
        <v>197.54220000000001</v>
      </c>
      <c r="J66" s="29">
        <v>279.28379999999999</v>
      </c>
      <c r="K66" s="29">
        <v>367.8372</v>
      </c>
      <c r="M66" s="40">
        <f t="shared" si="6"/>
        <v>4.7995067889908261E-3</v>
      </c>
      <c r="N66" s="40">
        <f t="shared" si="7"/>
        <v>6.932620917431194E-3</v>
      </c>
      <c r="O66" s="40">
        <f t="shared" si="8"/>
        <v>9.0657350458715567E-3</v>
      </c>
      <c r="Q66" s="40">
        <f t="shared" si="9"/>
        <v>1.26532282859339</v>
      </c>
      <c r="R66" s="40">
        <f t="shared" si="10"/>
        <v>1.7889046887009992</v>
      </c>
      <c r="S66" s="40">
        <f t="shared" si="11"/>
        <v>2.3561183704842428</v>
      </c>
      <c r="U66" s="40">
        <f t="shared" si="14"/>
        <v>4.3185079474177129E-3</v>
      </c>
      <c r="V66" s="40">
        <f t="shared" si="12"/>
        <v>6.1054767532457309E-3</v>
      </c>
      <c r="W66" s="40">
        <f t="shared" si="13"/>
        <v>8.0413596262260845E-3</v>
      </c>
      <c r="Z66" s="1"/>
      <c r="AA66" s="1"/>
      <c r="AB66" s="1"/>
    </row>
    <row r="67" spans="2:28">
      <c r="B67" s="26" t="s">
        <v>18</v>
      </c>
      <c r="C67" s="26" t="s">
        <v>38</v>
      </c>
      <c r="D67" s="26" t="s">
        <v>19</v>
      </c>
      <c r="E67" s="49">
        <v>5</v>
      </c>
      <c r="F67" s="27">
        <v>1972.6972800000001</v>
      </c>
      <c r="G67" s="27">
        <v>2593.9334400000002</v>
      </c>
      <c r="H67" s="27">
        <v>3247.8662399999998</v>
      </c>
      <c r="I67" s="27">
        <v>1008.1464</v>
      </c>
      <c r="J67" s="27">
        <v>1328.3009999999999</v>
      </c>
      <c r="K67" s="27">
        <v>1662.0792000000001</v>
      </c>
      <c r="M67" s="40">
        <f t="shared" si="6"/>
        <v>2.8957024293577986E-2</v>
      </c>
      <c r="N67" s="40">
        <f t="shared" si="7"/>
        <v>3.8076087192660549E-2</v>
      </c>
      <c r="O67" s="40">
        <f t="shared" si="8"/>
        <v>4.7675100770642201E-2</v>
      </c>
      <c r="Q67" s="40">
        <f t="shared" si="9"/>
        <v>7.7490115295926216</v>
      </c>
      <c r="R67" s="40">
        <f t="shared" si="10"/>
        <v>10.209846272098385</v>
      </c>
      <c r="S67" s="40">
        <f t="shared" si="11"/>
        <v>12.775397386625675</v>
      </c>
      <c r="U67" s="40">
        <f t="shared" si="14"/>
        <v>2.6447138326254682E-2</v>
      </c>
      <c r="V67" s="40">
        <f t="shared" si="12"/>
        <v>3.4845891713646368E-2</v>
      </c>
      <c r="W67" s="40">
        <f t="shared" si="13"/>
        <v>4.3602038862203672E-2</v>
      </c>
      <c r="Z67" s="1"/>
      <c r="AA67" s="1"/>
      <c r="AB67" s="1"/>
    </row>
    <row r="68" spans="2:28">
      <c r="B68" s="28" t="s">
        <v>11</v>
      </c>
      <c r="C68" s="28" t="s">
        <v>39</v>
      </c>
      <c r="D68" s="28" t="s">
        <v>19</v>
      </c>
      <c r="E68" s="41">
        <v>5</v>
      </c>
      <c r="F68" s="29">
        <v>283.37088</v>
      </c>
      <c r="G68" s="29">
        <v>403.25855999999999</v>
      </c>
      <c r="H68" s="29">
        <v>544.94399999999996</v>
      </c>
      <c r="I68" s="29">
        <v>143.0478</v>
      </c>
      <c r="J68" s="29">
        <v>204.35400000000001</v>
      </c>
      <c r="K68" s="29">
        <v>272.47199999999998</v>
      </c>
      <c r="M68" s="40">
        <f t="shared" si="6"/>
        <v>4.1595725504587162E-3</v>
      </c>
      <c r="N68" s="40">
        <f t="shared" si="7"/>
        <v>5.9193917064220185E-3</v>
      </c>
      <c r="O68" s="40">
        <f t="shared" si="8"/>
        <v>7.9991779816513762E-3</v>
      </c>
      <c r="Q68" s="40">
        <f t="shared" si="9"/>
        <v>1.09952190622598</v>
      </c>
      <c r="R68" s="40">
        <f t="shared" si="10"/>
        <v>1.5707455803228287</v>
      </c>
      <c r="S68" s="40">
        <f t="shared" si="11"/>
        <v>2.0943274404304377</v>
      </c>
      <c r="U68" s="40">
        <f t="shared" si="14"/>
        <v>3.7526344922388395E-3</v>
      </c>
      <c r="V68" s="40">
        <f t="shared" si="12"/>
        <v>5.3609064174840572E-3</v>
      </c>
      <c r="W68" s="40">
        <f t="shared" si="13"/>
        <v>7.1478752233120743E-3</v>
      </c>
      <c r="Z68" s="1"/>
      <c r="AA68" s="1"/>
      <c r="AB68" s="1"/>
    </row>
    <row r="69" spans="2:28">
      <c r="B69" s="26" t="s">
        <v>28</v>
      </c>
      <c r="C69" s="26" t="s">
        <v>49</v>
      </c>
      <c r="D69" s="26" t="s">
        <v>27</v>
      </c>
      <c r="E69" s="49">
        <v>3</v>
      </c>
      <c r="F69" s="27">
        <v>2077.5990000000002</v>
      </c>
      <c r="G69" s="27">
        <v>2430.4502400000001</v>
      </c>
      <c r="H69" s="27">
        <v>2801.0121600000002</v>
      </c>
      <c r="I69" s="27">
        <v>1049.0172</v>
      </c>
      <c r="J69" s="27">
        <v>1226.124</v>
      </c>
      <c r="K69" s="27">
        <v>1410.0426</v>
      </c>
      <c r="M69" s="40">
        <f t="shared" si="6"/>
        <v>5.0828110091743123E-2</v>
      </c>
      <c r="N69" s="40">
        <f t="shared" si="7"/>
        <v>5.9460556330275222E-2</v>
      </c>
      <c r="O69" s="40">
        <f t="shared" si="8"/>
        <v>6.8526291376146797E-2</v>
      </c>
      <c r="Q69" s="40">
        <f t="shared" si="9"/>
        <v>13.438601076095315</v>
      </c>
      <c r="R69" s="40">
        <f t="shared" si="10"/>
        <v>15.707455803228285</v>
      </c>
      <c r="S69" s="40">
        <f t="shared" si="11"/>
        <v>18.063574173712528</v>
      </c>
      <c r="U69" s="40">
        <f t="shared" ref="U69:W70" si="16">Q69/293</f>
        <v>4.5865532682919166E-2</v>
      </c>
      <c r="V69" s="40">
        <f t="shared" si="16"/>
        <v>5.3609064174840564E-2</v>
      </c>
      <c r="W69" s="40">
        <f t="shared" si="16"/>
        <v>6.1650423801066646E-2</v>
      </c>
      <c r="Z69" s="1"/>
      <c r="AA69" s="1"/>
      <c r="AB69" s="1"/>
    </row>
    <row r="70" spans="2:28">
      <c r="B70" s="28" t="s">
        <v>11</v>
      </c>
      <c r="C70" s="28" t="s">
        <v>50</v>
      </c>
      <c r="D70" s="28" t="s">
        <v>27</v>
      </c>
      <c r="E70" s="41">
        <v>3</v>
      </c>
      <c r="F70" s="29">
        <v>414.15744000000001</v>
      </c>
      <c r="G70" s="29">
        <v>577.64063999999996</v>
      </c>
      <c r="H70" s="29">
        <v>752.02272000000005</v>
      </c>
      <c r="I70" s="29">
        <v>204.35400000000001</v>
      </c>
      <c r="J70" s="29">
        <v>292.9074</v>
      </c>
      <c r="K70" s="29">
        <v>381.46080000000001</v>
      </c>
      <c r="M70" s="42">
        <f t="shared" si="6"/>
        <v>1.0132292110091744E-2</v>
      </c>
      <c r="N70" s="42">
        <f t="shared" si="7"/>
        <v>1.4131881100917431E-2</v>
      </c>
      <c r="O70" s="42">
        <f t="shared" si="8"/>
        <v>1.8398109357798165E-2</v>
      </c>
      <c r="Q70" s="42">
        <f t="shared" si="9"/>
        <v>2.6179093005380478</v>
      </c>
      <c r="R70" s="42">
        <f t="shared" si="10"/>
        <v>3.7523366641045359</v>
      </c>
      <c r="S70" s="42">
        <f t="shared" si="11"/>
        <v>4.8867640276710231</v>
      </c>
      <c r="U70" s="42">
        <f t="shared" si="16"/>
        <v>8.9348440291400957E-3</v>
      </c>
      <c r="V70" s="42">
        <f t="shared" si="16"/>
        <v>1.2806609775100805E-2</v>
      </c>
      <c r="W70" s="42">
        <f t="shared" si="16"/>
        <v>1.6678375521061512E-2</v>
      </c>
      <c r="Z70" s="1"/>
      <c r="AA70" s="1"/>
      <c r="AB70" s="1"/>
    </row>
    <row r="71" spans="2:28">
      <c r="B71" s="26" t="s">
        <v>20</v>
      </c>
      <c r="C71" s="26" t="s">
        <v>42</v>
      </c>
      <c r="D71" s="26" t="s">
        <v>19</v>
      </c>
      <c r="E71" s="49">
        <v>5</v>
      </c>
      <c r="F71" s="27">
        <v>2208.3855600000002</v>
      </c>
      <c r="G71" s="27">
        <v>2822.8099200000001</v>
      </c>
      <c r="H71" s="27">
        <v>3454.9449600000003</v>
      </c>
      <c r="I71" s="27">
        <v>1103.5116</v>
      </c>
      <c r="J71" s="27">
        <v>1410.0426</v>
      </c>
      <c r="K71" s="27">
        <v>1730.1972000000001</v>
      </c>
      <c r="M71" s="40">
        <f t="shared" si="6"/>
        <v>3.2416668770642212E-2</v>
      </c>
      <c r="N71" s="40">
        <f t="shared" si="7"/>
        <v>4.1435741944954127E-2</v>
      </c>
      <c r="O71" s="40">
        <f t="shared" si="8"/>
        <v>5.0714788403669719E-2</v>
      </c>
      <c r="Q71" s="40">
        <f t="shared" si="9"/>
        <v>8.4820261337432754</v>
      </c>
      <c r="R71" s="40">
        <f t="shared" si="10"/>
        <v>10.838144504227516</v>
      </c>
      <c r="S71" s="40">
        <f t="shared" si="11"/>
        <v>13.298979246733282</v>
      </c>
      <c r="U71" s="40">
        <f t="shared" si="14"/>
        <v>2.8948894654413908E-2</v>
      </c>
      <c r="V71" s="40">
        <f t="shared" si="12"/>
        <v>3.6990254280639991E-2</v>
      </c>
      <c r="W71" s="40">
        <f t="shared" si="13"/>
        <v>4.5389007668031681E-2</v>
      </c>
      <c r="Z71" s="1"/>
      <c r="AA71" s="1"/>
      <c r="AB71" s="1"/>
    </row>
    <row r="72" spans="2:28">
      <c r="B72" s="28" t="s">
        <v>11</v>
      </c>
      <c r="C72" s="28" t="s">
        <v>43</v>
      </c>
      <c r="D72" s="28" t="s">
        <v>19</v>
      </c>
      <c r="E72" s="41">
        <v>5</v>
      </c>
      <c r="F72" s="29">
        <v>294.26976000000002</v>
      </c>
      <c r="G72" s="29">
        <v>403.25855999999999</v>
      </c>
      <c r="H72" s="29">
        <v>523.14624000000003</v>
      </c>
      <c r="I72" s="29">
        <v>143.0478</v>
      </c>
      <c r="J72" s="29">
        <v>204.35400000000001</v>
      </c>
      <c r="K72" s="29">
        <v>265.66019999999997</v>
      </c>
      <c r="M72" s="40">
        <f t="shared" si="6"/>
        <v>4.3195561100917435E-3</v>
      </c>
      <c r="N72" s="40">
        <f t="shared" si="7"/>
        <v>5.9193917064220185E-3</v>
      </c>
      <c r="O72" s="40">
        <f t="shared" si="8"/>
        <v>7.6792108623853217E-3</v>
      </c>
      <c r="Q72" s="40">
        <f t="shared" si="9"/>
        <v>1.09952190622598</v>
      </c>
      <c r="R72" s="40">
        <f t="shared" si="10"/>
        <v>1.5707455803228287</v>
      </c>
      <c r="S72" s="40">
        <f t="shared" si="11"/>
        <v>2.0419692544196772</v>
      </c>
      <c r="U72" s="40">
        <f t="shared" si="14"/>
        <v>3.7526344922388395E-3</v>
      </c>
      <c r="V72" s="40">
        <f t="shared" si="12"/>
        <v>5.3609064174840572E-3</v>
      </c>
      <c r="W72" s="40">
        <f t="shared" si="13"/>
        <v>6.9691783427292741E-3</v>
      </c>
      <c r="Z72" s="1"/>
      <c r="AA72" s="1"/>
      <c r="AB72" s="1"/>
    </row>
    <row r="73" spans="2:28">
      <c r="B73" s="26" t="s">
        <v>23</v>
      </c>
      <c r="C73" s="26" t="s">
        <v>42</v>
      </c>
      <c r="D73" s="26" t="s">
        <v>22</v>
      </c>
      <c r="E73" s="49">
        <v>4</v>
      </c>
      <c r="F73" s="27">
        <v>2332.3603200000002</v>
      </c>
      <c r="G73" s="27">
        <v>2855.5065599999998</v>
      </c>
      <c r="H73" s="27">
        <v>3411.34944</v>
      </c>
      <c r="I73" s="27">
        <v>1192.0650000000001</v>
      </c>
      <c r="J73" s="27">
        <v>1464.537</v>
      </c>
      <c r="K73" s="27">
        <v>1743.8208</v>
      </c>
      <c r="M73" s="40">
        <f t="shared" si="6"/>
        <v>4.279560220183487E-2</v>
      </c>
      <c r="N73" s="40">
        <f t="shared" si="7"/>
        <v>5.2394615779816509E-2</v>
      </c>
      <c r="O73" s="40">
        <f t="shared" si="8"/>
        <v>6.2593567706422021E-2</v>
      </c>
      <c r="Q73" s="40">
        <f t="shared" si="9"/>
        <v>11.45335318985396</v>
      </c>
      <c r="R73" s="40">
        <f t="shared" si="10"/>
        <v>14.071262490392007</v>
      </c>
      <c r="S73" s="40">
        <f t="shared" si="11"/>
        <v>16.754619523443505</v>
      </c>
      <c r="U73" s="40">
        <f t="shared" ref="U73:W74" si="17">Q73/293</f>
        <v>3.9089942627487918E-2</v>
      </c>
      <c r="V73" s="40">
        <f t="shared" si="17"/>
        <v>4.8024786656628009E-2</v>
      </c>
      <c r="W73" s="40">
        <f t="shared" si="17"/>
        <v>5.7183001786496608E-2</v>
      </c>
      <c r="Z73" s="1"/>
      <c r="AA73" s="1"/>
      <c r="AB73" s="1"/>
    </row>
    <row r="74" spans="2:28">
      <c r="B74" s="28" t="s">
        <v>11</v>
      </c>
      <c r="C74" s="28" t="s">
        <v>43</v>
      </c>
      <c r="D74" s="28" t="s">
        <v>22</v>
      </c>
      <c r="E74" s="41">
        <v>4</v>
      </c>
      <c r="F74" s="29">
        <v>316.06752</v>
      </c>
      <c r="G74" s="29">
        <v>446.85408000000001</v>
      </c>
      <c r="H74" s="29">
        <v>628.04795999999999</v>
      </c>
      <c r="I74" s="29">
        <v>163.48320000000001</v>
      </c>
      <c r="J74" s="29">
        <v>224.7894</v>
      </c>
      <c r="K74" s="29">
        <v>320.15460000000002</v>
      </c>
      <c r="M74" s="40">
        <f t="shared" si="6"/>
        <v>5.7994040366972479E-3</v>
      </c>
      <c r="N74" s="40">
        <f t="shared" si="7"/>
        <v>8.19915743119266E-3</v>
      </c>
      <c r="O74" s="40">
        <f t="shared" si="8"/>
        <v>1.1523815779816511E-2</v>
      </c>
      <c r="Q74" s="40">
        <f t="shared" si="9"/>
        <v>1.5707455803228287</v>
      </c>
      <c r="R74" s="40">
        <f t="shared" si="10"/>
        <v>2.1597751729438892</v>
      </c>
      <c r="S74" s="40">
        <f t="shared" si="11"/>
        <v>3.0760434281322064</v>
      </c>
      <c r="U74" s="40">
        <f t="shared" si="17"/>
        <v>5.3609064174840572E-3</v>
      </c>
      <c r="V74" s="40">
        <f t="shared" si="17"/>
        <v>7.3712463240405779E-3</v>
      </c>
      <c r="W74" s="40">
        <f t="shared" si="17"/>
        <v>1.0498441734239613E-2</v>
      </c>
      <c r="Z74" s="1"/>
      <c r="AA74" s="1"/>
      <c r="AB74" s="1"/>
    </row>
    <row r="75" spans="2:28">
      <c r="B75" s="26" t="s">
        <v>21</v>
      </c>
      <c r="C75" s="26" t="s">
        <v>44</v>
      </c>
      <c r="D75" s="26" t="s">
        <v>22</v>
      </c>
      <c r="E75" s="49">
        <v>4</v>
      </c>
      <c r="F75" s="27">
        <v>2393.6665200000002</v>
      </c>
      <c r="G75" s="27">
        <v>2888.2031999999999</v>
      </c>
      <c r="H75" s="27">
        <v>3403.1752799999999</v>
      </c>
      <c r="I75" s="27">
        <v>1192.0650000000001</v>
      </c>
      <c r="J75" s="27">
        <v>1437.2898</v>
      </c>
      <c r="K75" s="27">
        <v>1696.1382000000001</v>
      </c>
      <c r="M75" s="40">
        <f t="shared" si="6"/>
        <v>4.3920486605504586E-2</v>
      </c>
      <c r="N75" s="40">
        <f t="shared" si="7"/>
        <v>5.2994554128440362E-2</v>
      </c>
      <c r="O75" s="40">
        <f t="shared" si="8"/>
        <v>6.2443583119266052E-2</v>
      </c>
      <c r="Q75" s="40">
        <f t="shared" si="9"/>
        <v>11.45335318985396</v>
      </c>
      <c r="R75" s="40">
        <f t="shared" si="10"/>
        <v>13.809471560338203</v>
      </c>
      <c r="S75" s="40">
        <f t="shared" si="11"/>
        <v>16.296485395849349</v>
      </c>
      <c r="U75" s="40">
        <f t="shared" si="14"/>
        <v>3.9089942627487918E-2</v>
      </c>
      <c r="V75" s="40">
        <f t="shared" si="12"/>
        <v>4.7131302253714001E-2</v>
      </c>
      <c r="W75" s="40">
        <f t="shared" si="13"/>
        <v>5.5619404081397095E-2</v>
      </c>
      <c r="Z75" s="1"/>
      <c r="AA75" s="1"/>
      <c r="AB75" s="1"/>
    </row>
    <row r="76" spans="2:28">
      <c r="B76" s="28" t="s">
        <v>11</v>
      </c>
      <c r="C76" s="28" t="s">
        <v>45</v>
      </c>
      <c r="D76" s="28" t="s">
        <v>22</v>
      </c>
      <c r="E76" s="41">
        <v>4</v>
      </c>
      <c r="F76" s="29">
        <v>167.57028</v>
      </c>
      <c r="G76" s="29">
        <v>228.87648000000002</v>
      </c>
      <c r="H76" s="29">
        <v>331.05347999999998</v>
      </c>
      <c r="I76" s="29">
        <v>95.365200000000002</v>
      </c>
      <c r="J76" s="29">
        <v>136.23599999999999</v>
      </c>
      <c r="K76" s="29">
        <v>204.35400000000001</v>
      </c>
      <c r="M76" s="40">
        <f t="shared" si="6"/>
        <v>3.0746840366972479E-3</v>
      </c>
      <c r="N76" s="40">
        <f t="shared" si="7"/>
        <v>4.1995684403669728E-3</v>
      </c>
      <c r="O76" s="40">
        <f t="shared" si="8"/>
        <v>6.0743757798165134E-3</v>
      </c>
      <c r="Q76" s="40">
        <f t="shared" si="9"/>
        <v>0.91626825518831678</v>
      </c>
      <c r="R76" s="40">
        <f t="shared" si="10"/>
        <v>1.3089546502690235</v>
      </c>
      <c r="S76" s="40">
        <f t="shared" si="11"/>
        <v>1.9634319754035359</v>
      </c>
      <c r="U76" s="40">
        <f t="shared" si="14"/>
        <v>3.1271954101990333E-3</v>
      </c>
      <c r="V76" s="40">
        <f t="shared" si="12"/>
        <v>4.4674220145700461E-3</v>
      </c>
      <c r="W76" s="40">
        <f t="shared" si="13"/>
        <v>6.7011330218550713E-3</v>
      </c>
      <c r="Z76" s="1"/>
      <c r="AA76" s="1"/>
      <c r="AB76" s="1"/>
    </row>
    <row r="77" spans="2:28">
      <c r="B77" s="26" t="s">
        <v>24</v>
      </c>
      <c r="C77" s="51">
        <v>7</v>
      </c>
      <c r="D77" s="26" t="s">
        <v>25</v>
      </c>
      <c r="E77" s="49">
        <v>4</v>
      </c>
      <c r="F77" s="27">
        <v>1813.30116</v>
      </c>
      <c r="G77" s="27">
        <v>2419.5513599999999</v>
      </c>
      <c r="H77" s="27">
        <v>2964.4953599999999</v>
      </c>
      <c r="I77" s="27">
        <v>899.1576</v>
      </c>
      <c r="J77" s="27">
        <v>1158.0060000000001</v>
      </c>
      <c r="K77" s="27">
        <v>1416.8543999999999</v>
      </c>
      <c r="M77" s="40">
        <f t="shared" si="6"/>
        <v>3.3271580917431189E-2</v>
      </c>
      <c r="N77" s="40">
        <f t="shared" si="7"/>
        <v>4.4395437798165134E-2</v>
      </c>
      <c r="O77" s="40">
        <f t="shared" si="8"/>
        <v>5.4394410275229343E-2</v>
      </c>
      <c r="Q77" s="40">
        <f t="shared" si="9"/>
        <v>8.6391006917755568</v>
      </c>
      <c r="R77" s="40">
        <f t="shared" si="10"/>
        <v>11.126114527286703</v>
      </c>
      <c r="S77" s="40">
        <f t="shared" si="11"/>
        <v>13.613128362797848</v>
      </c>
      <c r="U77" s="40">
        <f t="shared" si="14"/>
        <v>2.9484985296162312E-2</v>
      </c>
      <c r="V77" s="40">
        <f t="shared" si="12"/>
        <v>3.7973087123845402E-2</v>
      </c>
      <c r="W77" s="40">
        <f t="shared" si="13"/>
        <v>4.6461188951528495E-2</v>
      </c>
      <c r="Z77" s="1"/>
      <c r="AA77" s="1"/>
      <c r="AB77" s="1"/>
    </row>
    <row r="78" spans="2:28">
      <c r="B78" s="28" t="s">
        <v>11</v>
      </c>
      <c r="C78" s="28" t="s">
        <v>46</v>
      </c>
      <c r="D78" s="28" t="s">
        <v>25</v>
      </c>
      <c r="E78" s="41">
        <v>4</v>
      </c>
      <c r="F78" s="29">
        <v>261.57312000000002</v>
      </c>
      <c r="G78" s="29">
        <v>337.86527999999998</v>
      </c>
      <c r="H78" s="29">
        <v>523.14624000000003</v>
      </c>
      <c r="I78" s="29">
        <v>136.23599999999999</v>
      </c>
      <c r="J78" s="29">
        <v>170.29500000000002</v>
      </c>
      <c r="K78" s="29">
        <v>258.84840000000003</v>
      </c>
      <c r="M78" s="42">
        <f t="shared" si="6"/>
        <v>4.7995067889908261E-3</v>
      </c>
      <c r="N78" s="42">
        <f t="shared" si="7"/>
        <v>6.1993629357798164E-3</v>
      </c>
      <c r="O78" s="42">
        <f t="shared" si="8"/>
        <v>9.5990135779816521E-3</v>
      </c>
      <c r="Q78" s="40">
        <f t="shared" si="9"/>
        <v>1.3089546502690235</v>
      </c>
      <c r="R78" s="40">
        <f t="shared" si="10"/>
        <v>1.6361933128362802</v>
      </c>
      <c r="S78" s="40">
        <f t="shared" si="11"/>
        <v>2.4870138355111457</v>
      </c>
      <c r="U78" s="40">
        <f t="shared" si="14"/>
        <v>4.4674220145700461E-3</v>
      </c>
      <c r="V78" s="40">
        <f t="shared" si="12"/>
        <v>5.5842775182125609E-3</v>
      </c>
      <c r="W78" s="40">
        <f t="shared" si="13"/>
        <v>8.4881018276830918E-3</v>
      </c>
      <c r="Z78" s="1"/>
      <c r="AA78" s="1"/>
      <c r="AB78" s="1"/>
    </row>
    <row r="79" spans="2:28" ht="30.6" customHeight="1">
      <c r="B79" s="5" t="s">
        <v>51</v>
      </c>
      <c r="D79" s="30"/>
      <c r="E79" s="30"/>
      <c r="F79" s="43" t="s">
        <v>53</v>
      </c>
      <c r="G79" s="6"/>
      <c r="H79" s="6"/>
      <c r="I79" s="44" t="s">
        <v>54</v>
      </c>
      <c r="J79" s="7"/>
      <c r="K79" s="7"/>
    </row>
    <row r="80" spans="2:28">
      <c r="B80" s="5" t="s">
        <v>52</v>
      </c>
      <c r="D80" s="30"/>
      <c r="E80" s="30"/>
      <c r="F80" s="30"/>
      <c r="G80" s="6"/>
      <c r="H80" s="6"/>
      <c r="I80" s="31"/>
      <c r="J80" s="7"/>
      <c r="K80" s="7"/>
    </row>
  </sheetData>
  <mergeCells count="27">
    <mergeCell ref="B21:B22"/>
    <mergeCell ref="C21:C22"/>
    <mergeCell ref="Q51:S51"/>
    <mergeCell ref="F49:K49"/>
    <mergeCell ref="M49:O49"/>
    <mergeCell ref="Q49:S49"/>
    <mergeCell ref="B51:B52"/>
    <mergeCell ref="C51:C52"/>
    <mergeCell ref="D51:D52"/>
    <mergeCell ref="E50:E52"/>
    <mergeCell ref="D21:D22"/>
    <mergeCell ref="M21:O21"/>
    <mergeCell ref="Q21:S21"/>
    <mergeCell ref="E20:E22"/>
    <mergeCell ref="M20:O20"/>
    <mergeCell ref="Q20:S20"/>
    <mergeCell ref="M19:O19"/>
    <mergeCell ref="U19:W19"/>
    <mergeCell ref="Q19:S19"/>
    <mergeCell ref="U49:W49"/>
    <mergeCell ref="U51:W51"/>
    <mergeCell ref="M50:O50"/>
    <mergeCell ref="Q50:S50"/>
    <mergeCell ref="U50:W50"/>
    <mergeCell ref="M51:O51"/>
    <mergeCell ref="U21:W21"/>
    <mergeCell ref="U20:W20"/>
  </mergeCells>
  <hyperlinks>
    <hyperlink ref="B79" r:id="rId1" xr:uid="{AEE4C5D9-BD6F-4F59-BB4D-5A631FE5598B}"/>
    <hyperlink ref="B80" r:id="rId2" xr:uid="{2E9DE3EC-0816-4A10-B137-473D3FD33A06}"/>
  </hyperlinks>
  <pageMargins left="0.7" right="0.7" top="0.75" bottom="0.75" header="0.3" footer="0.3"/>
  <pageSetup orientation="portrait" horizontalDpi="90" verticalDpi="90" r:id="rId3"/>
</worksheet>
</file>

<file path=docMetadata/LabelInfo.xml><?xml version="1.0" encoding="utf-8"?>
<clbl:labelList xmlns:clbl="http://schemas.microsoft.com/office/2020/mipLabelMetadata">
  <clbl:label id="{6473bd35-a793-4476-b755-d10c6831b239}" enabled="0" method="" siteId="{6473bd35-a793-4476-b755-d10c6831b2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Pool Energy Use Calculator</vt:lpstr>
      <vt:lpstr>pump assumptions &amp; calcs</vt:lpstr>
      <vt:lpstr>htg assumptions &amp; calcs</vt:lpstr>
      <vt:lpstr>heater_efficiency</vt:lpstr>
      <vt:lpstr>Monthsperyear</vt:lpstr>
      <vt:lpstr>poolcover</vt:lpstr>
      <vt:lpstr>turnovers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Hampsmire</dc:creator>
  <cp:lastModifiedBy>Kristen Hartel</cp:lastModifiedBy>
  <dcterms:created xsi:type="dcterms:W3CDTF">2021-03-24T14:23:25Z</dcterms:created>
  <dcterms:modified xsi:type="dcterms:W3CDTF">2023-12-01T13:37:49Z</dcterms:modified>
</cp:coreProperties>
</file>