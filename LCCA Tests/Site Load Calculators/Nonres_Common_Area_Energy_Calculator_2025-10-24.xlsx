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T:\Projects\60-23296-KTGY-Terraces of Lafayette\10_Energy Model\5. Load Analysis\"/>
    </mc:Choice>
  </mc:AlternateContent>
  <xr:revisionPtr revIDLastSave="0" documentId="13_ncr:1_{9F465E01-3BC7-46BC-9CC4-05959E47A2D4}" xr6:coauthVersionLast="47" xr6:coauthVersionMax="47" xr10:uidLastSave="{00000000-0000-0000-0000-000000000000}"/>
  <bookViews>
    <workbookView xWindow="38280" yWindow="-120" windowWidth="29040" windowHeight="15720" activeTab="4" xr2:uid="{00000000-000D-0000-FFFF-FFFF00000000}"/>
  </bookViews>
  <sheets>
    <sheet name="Instructions" sheetId="1" r:id="rId1"/>
    <sheet name="Inputs_Calcs" sheetId="2" r:id="rId2"/>
    <sheet name="Definitions" sheetId="3" r:id="rId3"/>
    <sheet name="Lookups_References" sheetId="4" r:id="rId4"/>
    <sheet name="Report_Client" sheetId="5" r:id="rId5"/>
  </sheets>
  <definedNames>
    <definedName name="_xlnm.Print_Area" localSheetId="4">Report_Client!$A$1:$C$53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5" l="1"/>
  <c r="B28" i="5"/>
  <c r="B15" i="5"/>
  <c r="C15" i="5"/>
  <c r="C12" i="5"/>
  <c r="B12" i="5"/>
  <c r="B164" i="2"/>
  <c r="B163" i="2"/>
  <c r="B162" i="2"/>
  <c r="B159" i="2"/>
  <c r="B51" i="5"/>
  <c r="B20" i="5"/>
  <c r="B89" i="2"/>
  <c r="C17" i="5" l="1"/>
  <c r="C18" i="5"/>
  <c r="B25" i="5"/>
  <c r="B100" i="2"/>
  <c r="B101" i="2"/>
  <c r="B102" i="2"/>
  <c r="B103" i="2"/>
  <c r="B104" i="2"/>
  <c r="A52" i="5"/>
  <c r="A46" i="5"/>
  <c r="A47" i="5"/>
  <c r="A48" i="5"/>
  <c r="A49" i="5"/>
  <c r="A50" i="5"/>
  <c r="A51" i="5"/>
  <c r="A42" i="5"/>
  <c r="A43" i="5"/>
  <c r="B50" i="5"/>
  <c r="B42" i="5"/>
  <c r="B43" i="5"/>
  <c r="B49" i="5"/>
  <c r="B48" i="5"/>
  <c r="B47" i="5"/>
  <c r="B46" i="5"/>
  <c r="A40" i="5"/>
  <c r="B40" i="5"/>
  <c r="A41" i="5"/>
  <c r="B41" i="5"/>
  <c r="C89" i="2" l="1"/>
  <c r="C25" i="5" s="1"/>
  <c r="B207" i="2"/>
  <c r="B230" i="2"/>
  <c r="B229" i="2"/>
  <c r="B214" i="2"/>
  <c r="B213" i="2"/>
  <c r="B212" i="2"/>
  <c r="B211" i="2"/>
  <c r="B210" i="2"/>
  <c r="B209" i="2"/>
  <c r="B208" i="2"/>
  <c r="B201" i="2"/>
  <c r="B200" i="2"/>
  <c r="B199" i="2"/>
  <c r="B198" i="2"/>
  <c r="B197" i="2"/>
  <c r="B190" i="2"/>
  <c r="B189" i="2"/>
  <c r="B188" i="2"/>
  <c r="B187" i="2"/>
  <c r="B183" i="2"/>
  <c r="B182" i="2"/>
  <c r="B181" i="2"/>
  <c r="B180" i="2"/>
  <c r="B179" i="2"/>
  <c r="E174" i="2"/>
  <c r="D174" i="2"/>
  <c r="C174" i="2"/>
  <c r="B174" i="2"/>
  <c r="F174" i="2" s="1"/>
  <c r="E173" i="2"/>
  <c r="D173" i="2"/>
  <c r="C173" i="2"/>
  <c r="B173" i="2"/>
  <c r="F173" i="2" s="1"/>
  <c r="E172" i="2"/>
  <c r="D172" i="2"/>
  <c r="C172" i="2"/>
  <c r="B172" i="2"/>
  <c r="F172" i="2" s="1"/>
  <c r="E171" i="2"/>
  <c r="D171" i="2"/>
  <c r="C171" i="2"/>
  <c r="B171" i="2"/>
  <c r="F171" i="2" s="1"/>
  <c r="E170" i="2"/>
  <c r="D170" i="2"/>
  <c r="C170" i="2"/>
  <c r="B170" i="2"/>
  <c r="F170" i="2" s="1"/>
  <c r="E169" i="2"/>
  <c r="D169" i="2"/>
  <c r="C169" i="2"/>
  <c r="B169" i="2"/>
  <c r="F169" i="2" s="1"/>
  <c r="E168" i="2"/>
  <c r="D168" i="2"/>
  <c r="C168" i="2"/>
  <c r="B168" i="2"/>
  <c r="F168" i="2" s="1"/>
  <c r="B151" i="2"/>
  <c r="B150" i="2"/>
  <c r="B148" i="2"/>
  <c r="B140" i="2"/>
  <c r="B142" i="2" s="1"/>
  <c r="C135" i="2"/>
  <c r="B135" i="2"/>
  <c r="C134" i="2"/>
  <c r="B134" i="2"/>
  <c r="C133" i="2"/>
  <c r="B133" i="2"/>
  <c r="C132" i="2"/>
  <c r="B132" i="2"/>
  <c r="C131" i="2"/>
  <c r="B131" i="2"/>
  <c r="C130" i="2"/>
  <c r="B130" i="2"/>
  <c r="C129" i="2"/>
  <c r="B129" i="2"/>
  <c r="C128" i="2"/>
  <c r="B128" i="2"/>
  <c r="C127" i="2"/>
  <c r="B127" i="2"/>
  <c r="C126" i="2"/>
  <c r="B126" i="2"/>
  <c r="C125" i="2"/>
  <c r="B125" i="2"/>
  <c r="C124" i="2"/>
  <c r="B124" i="2"/>
  <c r="C123" i="2"/>
  <c r="B123" i="2"/>
  <c r="C122" i="2"/>
  <c r="B122" i="2"/>
  <c r="C121" i="2"/>
  <c r="B121" i="2"/>
  <c r="C120" i="2"/>
  <c r="B120" i="2"/>
  <c r="C119" i="2"/>
  <c r="B119" i="2"/>
  <c r="C118" i="2"/>
  <c r="B118" i="2"/>
  <c r="C117" i="2"/>
  <c r="B117" i="2"/>
  <c r="C116" i="2"/>
  <c r="B116" i="2"/>
  <c r="C115" i="2"/>
  <c r="B115" i="2"/>
  <c r="C114" i="2"/>
  <c r="B114" i="2"/>
  <c r="C113" i="2"/>
  <c r="B113" i="2"/>
  <c r="C112" i="2"/>
  <c r="B112" i="2"/>
  <c r="C111" i="2"/>
  <c r="B111" i="2"/>
  <c r="C110" i="2"/>
  <c r="B110" i="2"/>
  <c r="N6" i="2"/>
  <c r="N5" i="2"/>
  <c r="B202" i="2" l="1"/>
  <c r="B203" i="2" s="1"/>
  <c r="B204" i="2" s="1"/>
  <c r="G113" i="2"/>
  <c r="H113" i="2" s="1"/>
  <c r="I113" i="2" s="1"/>
  <c r="B152" i="2"/>
  <c r="G110" i="2"/>
  <c r="H110" i="2" s="1"/>
  <c r="I110" i="2" s="1"/>
  <c r="G115" i="2"/>
  <c r="H115" i="2" s="1"/>
  <c r="I115" i="2" s="1"/>
  <c r="G120" i="2"/>
  <c r="H120" i="2" s="1"/>
  <c r="I120" i="2" s="1"/>
  <c r="G130" i="2"/>
  <c r="H130" i="2" s="1"/>
  <c r="I130" i="2" s="1"/>
  <c r="G135" i="2"/>
  <c r="H135" i="2" s="1"/>
  <c r="I135" i="2" s="1"/>
  <c r="G169" i="2"/>
  <c r="H169" i="2" s="1"/>
  <c r="G118" i="2"/>
  <c r="H118" i="2" s="1"/>
  <c r="I118" i="2" s="1"/>
  <c r="G123" i="2"/>
  <c r="H123" i="2" s="1"/>
  <c r="I123" i="2" s="1"/>
  <c r="G128" i="2"/>
  <c r="H128" i="2" s="1"/>
  <c r="I128" i="2" s="1"/>
  <c r="G114" i="2"/>
  <c r="H114" i="2" s="1"/>
  <c r="I114" i="2" s="1"/>
  <c r="G119" i="2"/>
  <c r="H119" i="2" s="1"/>
  <c r="I119" i="2" s="1"/>
  <c r="G124" i="2"/>
  <c r="H124" i="2" s="1"/>
  <c r="I124" i="2" s="1"/>
  <c r="G129" i="2"/>
  <c r="H129" i="2" s="1"/>
  <c r="I129" i="2" s="1"/>
  <c r="G134" i="2"/>
  <c r="H134" i="2" s="1"/>
  <c r="I134" i="2" s="1"/>
  <c r="G170" i="2"/>
  <c r="H170" i="2" s="1"/>
  <c r="G111" i="2"/>
  <c r="H111" i="2" s="1"/>
  <c r="I111" i="2" s="1"/>
  <c r="G116" i="2"/>
  <c r="H116" i="2" s="1"/>
  <c r="I116" i="2" s="1"/>
  <c r="G121" i="2"/>
  <c r="H121" i="2" s="1"/>
  <c r="I121" i="2" s="1"/>
  <c r="G126" i="2"/>
  <c r="H126" i="2" s="1"/>
  <c r="I126" i="2" s="1"/>
  <c r="G131" i="2"/>
  <c r="H131" i="2" s="1"/>
  <c r="I131" i="2" s="1"/>
  <c r="G171" i="2"/>
  <c r="H171" i="2" s="1"/>
  <c r="G112" i="2"/>
  <c r="H112" i="2" s="1"/>
  <c r="I112" i="2" s="1"/>
  <c r="G127" i="2"/>
  <c r="H127" i="2" s="1"/>
  <c r="I127" i="2" s="1"/>
  <c r="G132" i="2"/>
  <c r="H132" i="2" s="1"/>
  <c r="I132" i="2" s="1"/>
  <c r="B217" i="2"/>
  <c r="B220" i="2" s="1"/>
  <c r="B219" i="2"/>
  <c r="B223" i="2" s="1"/>
  <c r="B258" i="2" s="1"/>
  <c r="B191" i="2"/>
  <c r="B192" i="2" s="1"/>
  <c r="B193" i="2" s="1"/>
  <c r="B254" i="2" s="1"/>
  <c r="B237" i="2"/>
  <c r="B52" i="5"/>
  <c r="G125" i="2"/>
  <c r="H125" i="2" s="1"/>
  <c r="I125" i="2" s="1"/>
  <c r="G133" i="2"/>
  <c r="H133" i="2" s="1"/>
  <c r="I133" i="2" s="1"/>
  <c r="B240" i="2"/>
  <c r="B53" i="5"/>
  <c r="B184" i="2"/>
  <c r="B185" i="2" s="1"/>
  <c r="G168" i="2"/>
  <c r="H168" i="2" s="1"/>
  <c r="B149" i="2"/>
  <c r="B153" i="2" s="1"/>
  <c r="G117" i="2"/>
  <c r="H117" i="2" s="1"/>
  <c r="I117" i="2" s="1"/>
  <c r="B247" i="2"/>
  <c r="B22" i="5" s="1"/>
  <c r="B143" i="2"/>
  <c r="B248" i="2" s="1"/>
  <c r="C22" i="5" s="1"/>
  <c r="G122" i="2"/>
  <c r="H122" i="2" s="1"/>
  <c r="I122" i="2" s="1"/>
  <c r="G174" i="2"/>
  <c r="H174" i="2" s="1"/>
  <c r="B215" i="2"/>
  <c r="G172" i="2"/>
  <c r="H172" i="2" s="1"/>
  <c r="G173" i="2"/>
  <c r="H173" i="2" s="1"/>
  <c r="B232" i="2"/>
  <c r="B241" i="2" l="1"/>
  <c r="B21" i="5"/>
  <c r="B23" i="5" s="1"/>
  <c r="B216" i="2"/>
  <c r="B218" i="2"/>
  <c r="G176" i="2"/>
  <c r="B251" i="2" s="1"/>
  <c r="B225" i="2"/>
  <c r="B260" i="2" s="1"/>
  <c r="I137" i="2"/>
  <c r="B246" i="2" s="1"/>
  <c r="C13" i="5" s="1"/>
  <c r="B186" i="2"/>
  <c r="B253" i="2" s="1"/>
  <c r="B234" i="2"/>
  <c r="B261" i="2" s="1"/>
  <c r="B205" i="2"/>
  <c r="B256" i="2" s="1"/>
  <c r="C24" i="5" s="1"/>
  <c r="C26" i="5" s="1"/>
  <c r="B255" i="2"/>
  <c r="B154" i="2"/>
  <c r="B250" i="2" s="1"/>
  <c r="B249" i="2"/>
  <c r="B11" i="5" s="1"/>
  <c r="H137" i="2"/>
  <c r="B245" i="2" s="1"/>
  <c r="B13" i="5" s="1"/>
  <c r="B238" i="2"/>
  <c r="B263" i="2" s="1"/>
  <c r="H176" i="2"/>
  <c r="B252" i="2" s="1"/>
  <c r="B264" i="2" l="1"/>
  <c r="C19" i="5" s="1"/>
  <c r="C20" i="5" s="1"/>
  <c r="C21" i="5"/>
  <c r="C23" i="5" s="1"/>
  <c r="C11" i="5"/>
  <c r="B24" i="5"/>
  <c r="B26" i="5" s="1"/>
  <c r="B222" i="2"/>
  <c r="B267" i="2"/>
  <c r="B224" i="2" l="1"/>
  <c r="B257" i="2"/>
  <c r="B259" i="2" l="1"/>
  <c r="B266" i="2"/>
  <c r="B268" i="2" s="1"/>
  <c r="B269" i="2" s="1"/>
</calcChain>
</file>

<file path=xl/sharedStrings.xml><?xml version="1.0" encoding="utf-8"?>
<sst xmlns="http://schemas.openxmlformats.org/spreadsheetml/2006/main" count="530" uniqueCount="304">
  <si>
    <t>Instructions — How to Use This Workbook</t>
  </si>
  <si>
    <t>1) Open the Inputs_Calcs tab. In the header, enter: Project Name, Units, blended Electricity $/kWh, and (if applicable) Demand $/kW, Fixed $/mo, Billing Demand (kW), Months/Year.</t>
  </si>
  <si>
    <t>2) Interior Lighting: enter areas (ft²) for each common-space row. LPDs auto-fill from Lookups_References. If space planning isn't final, use the 'MFOther (blended preset)' line as a placeholder, then replace with exact spaces later.</t>
  </si>
  <si>
    <t>3) Parking Garage: enter garage area and confirm the Parking Garage LPD (defaults to a placeholder). Set hours, days, and a control factor. If the garage is mechanically ventilated, choose Yes and fill the simple fan W/ft², hours, and days.</t>
  </si>
  <si>
    <t>4) EV Chargers: set Total Parking Spaces and the % EV Charger Spaces on the Parking Garage section; the EV section pulls those values automatically. Adjust kW/port and hours/day as needed.</t>
  </si>
  <si>
    <t>5) Site Lighting: paste Installed Watts per category from NRCC-LTO. Adjust hours/day and control factor to match expected controls (e.g., photocell, motion bi-level).</t>
  </si>
  <si>
    <t>6) Pools/Spas (if any): fill pump HP, efficiency, hours/days. Add heater inputs only if present (Electric or Gas).</t>
  </si>
  <si>
    <t>7) Review the roll-up at the bottom of Inputs_Calcs and the client-facing Report_Client tab. Print or export Report_Client.</t>
  </si>
  <si>
    <t>8) Lookups_References: holds the LPD table, rate shells, and citations. Update rates (blended $/kWh, demand $/kW, fixed $/mo) as needed and record the source &amp; effective date.</t>
  </si>
  <si>
    <t>Inputs &amp; Calculations — Multifamily Common Areas (Blended Rates)</t>
  </si>
  <si>
    <t>Project Name</t>
  </si>
  <si>
    <t>Units (count)</t>
  </si>
  <si>
    <t>Electricity Rate ($/kWh)</t>
  </si>
  <si>
    <t>Gas Rate ($/therm)</t>
  </si>
  <si>
    <t>Billing Demand (kW)</t>
  </si>
  <si>
    <t>Demand $/kW</t>
  </si>
  <si>
    <t>Fixed $/mo</t>
  </si>
  <si>
    <t>Billing Months/Year</t>
  </si>
  <si>
    <t>Annual Demand $</t>
  </si>
  <si>
    <t>Annual Fixed $</t>
  </si>
  <si>
    <t>DATA COLLECTION — Project Areas, Counts &amp; Assumptions</t>
  </si>
  <si>
    <t>Areas by Type</t>
  </si>
  <si>
    <t>Area Type (matches lighting table)</t>
  </si>
  <si>
    <t>Area (ft²)</t>
  </si>
  <si>
    <t>Conditioned? (Yes/No)</t>
  </si>
  <si>
    <t>Ventilated? (Yes/No)</t>
  </si>
  <si>
    <t>Notes</t>
  </si>
  <si>
    <t>Corridor Area</t>
  </si>
  <si>
    <t>No</t>
  </si>
  <si>
    <t>Yes</t>
  </si>
  <si>
    <t>Stairwell</t>
  </si>
  <si>
    <t>Lobby, Main Entry</t>
  </si>
  <si>
    <t>Lounge / Club Room</t>
  </si>
  <si>
    <t>Exercise / Fitness</t>
  </si>
  <si>
    <t>Office Area (&gt; 250 ft²)</t>
  </si>
  <si>
    <t>Office Area (≤ 250 ft²)</t>
  </si>
  <si>
    <t>Restrooms (Common)</t>
  </si>
  <si>
    <t>Laundry (Common)</t>
  </si>
  <si>
    <t>Electrical/Mechanical/Telephone</t>
  </si>
  <si>
    <t>Storage – Warehouse</t>
  </si>
  <si>
    <t>Kitchen / Food Prep</t>
  </si>
  <si>
    <t>MFOther (blended preset)</t>
  </si>
  <si>
    <t>Parking Garage</t>
  </si>
  <si>
    <t>Blended Annual Rates — Electricity &amp; Gas</t>
  </si>
  <si>
    <t>Utility</t>
  </si>
  <si>
    <t>PG&amp;E</t>
  </si>
  <si>
    <t>SCE</t>
  </si>
  <si>
    <t>SDG&amp;E</t>
  </si>
  <si>
    <t>Other/Custom</t>
  </si>
  <si>
    <t>Surface Parking</t>
  </si>
  <si>
    <t>Counts &amp; Equipment</t>
  </si>
  <si>
    <t># of Elevators</t>
  </si>
  <si>
    <t>Total Parking Spaces</t>
  </si>
  <si>
    <t>% EV Charger Spaces of Total</t>
  </si>
  <si>
    <t>Installed L2 Ports (override)</t>
  </si>
  <si>
    <t>Rated kW per EV Port</t>
  </si>
  <si>
    <t>Avg Use per EV Port (hours/day)</t>
  </si>
  <si>
    <t># of Pools/Spas</t>
  </si>
  <si>
    <t>Site Lighting (NRCC-LTO) — Inputs</t>
  </si>
  <si>
    <t>Category / Location</t>
  </si>
  <si>
    <t>Installed Watts</t>
  </si>
  <si>
    <t>Hours/Day</t>
  </si>
  <si>
    <t>Days/Year</t>
  </si>
  <si>
    <t>Control Factor (0–1)</t>
  </si>
  <si>
    <t>Hardscape / Parking Areas</t>
  </si>
  <si>
    <t>Walkways &amp; Stairways (Exterior)</t>
  </si>
  <si>
    <t>Driveways / Roadways</t>
  </si>
  <si>
    <t>Building Facade</t>
  </si>
  <si>
    <t>Entrance Canopies &amp; Overhangs</t>
  </si>
  <si>
    <t>Landscape / Accent</t>
  </si>
  <si>
    <t>Outdoor Dining / Patio (if any)</t>
  </si>
  <si>
    <t>Parking Garage — Data</t>
  </si>
  <si>
    <t>Parking Garage Area (ft²)</t>
  </si>
  <si>
    <t>Mechanically Ventilated? (Yes/No)</t>
  </si>
  <si>
    <t>Vent Fan Power Density (W/ft²)</t>
  </si>
  <si>
    <t>Vent Hours/Day</t>
  </si>
  <si>
    <t>Vent Days/Year</t>
  </si>
  <si>
    <t>Pools / Spas — Data</t>
  </si>
  <si>
    <t>Heat Source (Gas/Electric/Heat Pump)</t>
  </si>
  <si>
    <t>Pool Size (ft² surface area)</t>
  </si>
  <si>
    <t>Pump HP per Pool</t>
  </si>
  <si>
    <t>Heater Load Fraction (0–1)</t>
  </si>
  <si>
    <t>Heater Hours/Day</t>
  </si>
  <si>
    <t>Heater Days/Year</t>
  </si>
  <si>
    <t>Boiler Efficiency (0–1)</t>
  </si>
  <si>
    <t>HP Pool Heater COP</t>
  </si>
  <si>
    <t>Pump Efficiency (0–1)</t>
  </si>
  <si>
    <t>Pump Hours/Day</t>
  </si>
  <si>
    <t>Pump Days/Year</t>
  </si>
  <si>
    <t>HVAC — Space Conditioning &amp; Ventilation (Assumptions)</t>
  </si>
  <si>
    <t>Heating EUI (kWh/ft²·yr) — HP min-eff</t>
  </si>
  <si>
    <t>Cooling EUI (kWh/ft²·yr) — HP min-eff</t>
  </si>
  <si>
    <t>Ventilation W/ft² (balanced const-speed)</t>
  </si>
  <si>
    <t>Vent Hours/Day (constant)</t>
  </si>
  <si>
    <t>Interior Lighting — Calculations (LPD × Area × schedules × factors)</t>
  </si>
  <si>
    <t>Space Type (fixed)</t>
  </si>
  <si>
    <t>LPD (W/ft²)</t>
  </si>
  <si>
    <t>Hours/Year</t>
  </si>
  <si>
    <t>Diversity (0–1)</t>
  </si>
  <si>
    <t>Connected kW</t>
  </si>
  <si>
    <t>kWh/yr</t>
  </si>
  <si>
    <t>$/yr</t>
  </si>
  <si>
    <t>Interior Lighting kWh/yr — Subtotal</t>
  </si>
  <si>
    <t>Interior Lighting $/yr — Subtotal</t>
  </si>
  <si>
    <t>Elevators</t>
  </si>
  <si>
    <t>Assumed kWh per Elevator per Year</t>
  </si>
  <si>
    <t>Elevators — Annual kWh</t>
  </si>
  <si>
    <t>Elevators — Annual $</t>
  </si>
  <si>
    <t>EV Chargers (Level 2)</t>
  </si>
  <si>
    <t>% of Spaces with L2 Ports</t>
  </si>
  <si>
    <t>Installed L2 Ports (used)</t>
  </si>
  <si>
    <t>Rated kW per Port</t>
  </si>
  <si>
    <t>Avg Use per Port (hours/day)</t>
  </si>
  <si>
    <t>EV — kWh per Port per Year</t>
  </si>
  <si>
    <t>EV — Annual kWh</t>
  </si>
  <si>
    <t>EV — Annual $</t>
  </si>
  <si>
    <t>Site Lighting (paste NRCC-LTO installed watts; enter hours &amp; control factor)</t>
  </si>
  <si>
    <t>kW</t>
  </si>
  <si>
    <t>Site Lighting kWh/yr — Subtotal</t>
  </si>
  <si>
    <t>Site Lighting $/yr — Subtotal</t>
  </si>
  <si>
    <t>Parking Lighting LPD (W/ft²)</t>
  </si>
  <si>
    <t>Parking Lighting — Connected kW</t>
  </si>
  <si>
    <t>Parking Lighting — Annual kWh</t>
  </si>
  <si>
    <t>Parking Lighting — Annual $</t>
  </si>
  <si>
    <t>Ventilation — Connected kW</t>
  </si>
  <si>
    <t>Ventilation — Annual kWh</t>
  </si>
  <si>
    <t>Ventilation — Annual $</t>
  </si>
  <si>
    <t>Pools / Spas (Revised)</t>
  </si>
  <si>
    <t>Pump kW per Pool</t>
  </si>
  <si>
    <t>Pump kWh per Pool per Year</t>
  </si>
  <si>
    <t>Pumps — Annual kWh</t>
  </si>
  <si>
    <t>Pumps — Annual $</t>
  </si>
  <si>
    <t>Heater Load Factor (W/ft²) [Lookup]</t>
  </si>
  <si>
    <t>Heater Hours/Day [Lookup]</t>
  </si>
  <si>
    <t>Heater Days/Year [Lookup]</t>
  </si>
  <si>
    <t>Boiler Efficiency (0–1) [Lookup]</t>
  </si>
  <si>
    <t>HP Pool Heater COP [Lookup]</t>
  </si>
  <si>
    <t>Heater Size — kW (normalized from Pool Size)</t>
  </si>
  <si>
    <t>Heater Size — kBtu/h (normalized)</t>
  </si>
  <si>
    <t>Heater kWh per Pool per Year (Electric/HP)</t>
  </si>
  <si>
    <t>Heater therms per Pool per Year (Gas)</t>
  </si>
  <si>
    <t>Heaters — Annual kWh (Electric/HP)</t>
  </si>
  <si>
    <t>Heaters — Annual therms (Gas)</t>
  </si>
  <si>
    <t>Heaters — Annual $ (Electric/HP)</t>
  </si>
  <si>
    <t>Heaters — Annual $ (Gas)</t>
  </si>
  <si>
    <t>HVAC — Space Conditioning &amp; Ventilation (Calculated)</t>
  </si>
  <si>
    <t>Total Conditioned Area (ft²)</t>
  </si>
  <si>
    <t>Total Ventilated Area (ft²)</t>
  </si>
  <si>
    <t>Heating — Annual kWh (HP min-eff)</t>
  </si>
  <si>
    <t>(removed) Heating — Annual therms (not used)</t>
  </si>
  <si>
    <t>Heating — Annual $ (electric HP)</t>
  </si>
  <si>
    <t>(removed) Heating — Annual $ (gas)</t>
  </si>
  <si>
    <t>Cooling — Annual kWh (HP)</t>
  </si>
  <si>
    <t>Cooling — Annual $</t>
  </si>
  <si>
    <t>Ventilation — Annual kWh (balanced const-speed)</t>
  </si>
  <si>
    <t>Summary (Auto)</t>
  </si>
  <si>
    <t>Interior Lighting — Annual kWh</t>
  </si>
  <si>
    <t>Interior Lighting — Annual $</t>
  </si>
  <si>
    <t>EV Chargers — Annual kWh</t>
  </si>
  <si>
    <t>EV Chargers — Annual $</t>
  </si>
  <si>
    <t>Site Lighting — Annual kWh</t>
  </si>
  <si>
    <t>Site Lighting — Annual $</t>
  </si>
  <si>
    <t>Parking Garage — Lighting $</t>
  </si>
  <si>
    <t>Parking Garage — Ventilation $</t>
  </si>
  <si>
    <t>Pools — Pumps (kWh)</t>
  </si>
  <si>
    <t>Pools — Pumps (Electric $)</t>
  </si>
  <si>
    <t>Pools — Heater (kWh, if electric)</t>
  </si>
  <si>
    <t>Pools — Heater (therms, if gas)</t>
  </si>
  <si>
    <t>Pools — Heater (Electric $)</t>
  </si>
  <si>
    <t>Pools — Heater (Gas $)</t>
  </si>
  <si>
    <t>HVAC — Heating (electric/HP)</t>
  </si>
  <si>
    <t>HVAC — Heating (gas) — (not used)</t>
  </si>
  <si>
    <t>HVAC — Cooling (electric)</t>
  </si>
  <si>
    <t>HVAC — Ventilation (fans)</t>
  </si>
  <si>
    <t>TOTAL — Electric $ (all categories + demand + fixed)</t>
  </si>
  <si>
    <t>TOTAL — Gas $</t>
  </si>
  <si>
    <t>GRAND TOTAL ($/yr)</t>
  </si>
  <si>
    <t>Per-Unit Per Month ($/unit·mo)</t>
  </si>
  <si>
    <t>Definitions — Technical Terms &amp; Inputs</t>
  </si>
  <si>
    <t>Term</t>
  </si>
  <si>
    <t>Definition / How Used</t>
  </si>
  <si>
    <t>LPD (Lighting Power Density, W/ft²)</t>
  </si>
  <si>
    <t>Watts of installed lighting per square foot. Used with area to compute connected kW: kW = Area × LPD / 1000.</t>
  </si>
  <si>
    <t>Represents average reduction from controls (e.g., occupancy/bi-level). 0.60 means 40% average reduction vs. full power.</t>
  </si>
  <si>
    <t>Diversity Factor (0–1)</t>
  </si>
  <si>
    <t>Represents non-simultaneous operation across a group. Commonly 0.90 for corridors; 1.00 otherwise.</t>
  </si>
  <si>
    <t>Blended Electricity Rate ($/kWh)</t>
  </si>
  <si>
    <t>Single average energy charge used across all kWh; excludes demand/fixed which are added separately.</t>
  </si>
  <si>
    <t>Demand Charge ($/kW)</t>
  </si>
  <si>
    <t>Monthly charge per billing kW; annual demand $ = $/kW × billing kW × months.</t>
  </si>
  <si>
    <t>Fixed Charge ($/mo)</t>
  </si>
  <si>
    <t>Monthly customer charge; annual fixed $ = $/mo × months.</t>
  </si>
  <si>
    <t>Hours/Day; Days/Year</t>
  </si>
  <si>
    <t>Operating schedule inputs used to derive annual hours.</t>
  </si>
  <si>
    <t>Temporary common-area lighting category with a blended LPD used before exact occupancy definitions are finalized.</t>
  </si>
  <si>
    <t>Mechanically Ventilated (Parking)</t>
  </si>
  <si>
    <t>Yes/No toggle. If Yes, ventilation energy is computed from fan W/ft², area, and hours.</t>
  </si>
  <si>
    <t>Installed Watts (Site Lighting)</t>
  </si>
  <si>
    <t>Total connected exterior lighting watts by category from NRCC-LTO prescriptive calculations.</t>
  </si>
  <si>
    <t>EV Charger % of Parking</t>
  </si>
  <si>
    <t>Percent of total parking spaces equipped with EV charging; used to estimate # of ports or spaces.</t>
  </si>
  <si>
    <t>Lighting Power Densities — Title 24 (2022) Table 140.6-C (Common MF Spaces)</t>
  </si>
  <si>
    <t>Space Type</t>
  </si>
  <si>
    <t>Standard corridors</t>
  </si>
  <si>
    <t>Common stairwells</t>
  </si>
  <si>
    <t>Entry lobby</t>
  </si>
  <si>
    <t>Amenity lounge/club room</t>
  </si>
  <si>
    <t>Fitness room/gym</t>
  </si>
  <si>
    <t>Leasing office</t>
  </si>
  <si>
    <t>Small office</t>
  </si>
  <si>
    <t>Clubhouse kitchen</t>
  </si>
  <si>
    <t>Use before occupancy definitions are finalized; replace with specific spaces later.</t>
  </si>
  <si>
    <t>Placeholder LPD; edit per design / local code interpretation.</t>
  </si>
  <si>
    <t>Class (kW range)</t>
  </si>
  <si>
    <t>Energy $/kWh</t>
  </si>
  <si>
    <t>Tariff Code</t>
  </si>
  <si>
    <t>Effective Date</t>
  </si>
  <si>
    <t>Source / Notes</t>
  </si>
  <si>
    <t>Small (≤20 kW)</t>
  </si>
  <si>
    <t>B-1 (Small General Service TOU)</t>
  </si>
  <si>
    <t>2025-08 (planning default)</t>
  </si>
  <si>
    <t>Planning default; confirm latest PG&amp;E tariff for project.</t>
  </si>
  <si>
    <t>Medium (20–200 kW)</t>
  </si>
  <si>
    <t>E-19 / B-19 (verify)</t>
  </si>
  <si>
    <t>Planning default; verify actual tariff selection and demand components.</t>
  </si>
  <si>
    <t>Large (&gt;200 kW)</t>
  </si>
  <si>
    <t>E-20 (verify)</t>
  </si>
  <si>
    <t>Planning default; verify ratchets / transmission demand.</t>
  </si>
  <si>
    <t>TOU-GS-1</t>
  </si>
  <si>
    <t>Planning default for SCE GS-1.</t>
  </si>
  <si>
    <t>TOU-GS-2</t>
  </si>
  <si>
    <t>Planning default for SCE GS-2 (demand).</t>
  </si>
  <si>
    <t>TOU-GS-3</t>
  </si>
  <si>
    <t>Planning default for SCE GS-3 (demand).</t>
  </si>
  <si>
    <t>AL-TOU (Small)</t>
  </si>
  <si>
    <t>Planning default for SDG&amp;E AL-TOU small.</t>
  </si>
  <si>
    <t>AL-TOU (Med) / AL-TOU2</t>
  </si>
  <si>
    <t>Planning default for SDG&amp;E medium (demand).</t>
  </si>
  <si>
    <t>AL-TOU (Large) / AL-TOU2</t>
  </si>
  <si>
    <t>Planning default for SDG&amp;E large (demand).</t>
  </si>
  <si>
    <t>Any</t>
  </si>
  <si>
    <t>Enter tariff</t>
  </si>
  <si>
    <t>2025-08 (placeholder)</t>
  </si>
  <si>
    <t>Use for non-IOUs or custom blends.</t>
  </si>
  <si>
    <t>References &amp; Sources (Traceability)</t>
  </si>
  <si>
    <t>Topic</t>
  </si>
  <si>
    <t>Reference / Source</t>
  </si>
  <si>
    <t>Notes (why/how used)</t>
  </si>
  <si>
    <t>LPD values</t>
  </si>
  <si>
    <t>CA Title 24, Part 6 (2022) — Table 140.6-C</t>
  </si>
  <si>
    <t>Used for interior common-area lighting power densities.</t>
  </si>
  <si>
    <t>Outdoor control schemes</t>
  </si>
  <si>
    <t>Title 24 §130.2 (Outdoor Lighting Controls)</t>
  </si>
  <si>
    <t>Default assumptions for hours/control; user can override.</t>
  </si>
  <si>
    <t>NRCC-LTO</t>
  </si>
  <si>
    <t>Nonresidential Certificate of Compliance (Outdoor Lighting)</t>
  </si>
  <si>
    <t>Installed Watts pasted into Site Lighting.</t>
  </si>
  <si>
    <t>DRE Budget mapping</t>
  </si>
  <si>
    <t>RE 623 Budget Worksheet (California DRE)</t>
  </si>
  <si>
    <t>Roll-up to 201 Electricity and 202 Gas for HOA budgets.</t>
  </si>
  <si>
    <t>Tariffs</t>
  </si>
  <si>
    <t>PG&amp;E / SCE / SDG&amp;E official rate sheets</t>
  </si>
  <si>
    <t>Enter blended annual $/kWh, demand $/kW, fixed $/mo.</t>
  </si>
  <si>
    <t>Pool Defaults</t>
  </si>
  <si>
    <t>Value</t>
  </si>
  <si>
    <t>Heater Load Factor (W/ft²)</t>
  </si>
  <si>
    <t>Heat Pump COP</t>
  </si>
  <si>
    <t>HVAC Defaults</t>
  </si>
  <si>
    <t>Show therms</t>
  </si>
  <si>
    <t>Show kBtu</t>
  </si>
  <si>
    <t>Show Cost</t>
  </si>
  <si>
    <t>Show Gas</t>
  </si>
  <si>
    <t>Category</t>
  </si>
  <si>
    <t>Pools — subtotal</t>
  </si>
  <si>
    <t>Grand Total</t>
  </si>
  <si>
    <t>Enter this below in the Parking Garage inputs</t>
  </si>
  <si>
    <t>Assumptions</t>
  </si>
  <si>
    <t>Unconditioned Ventilated Area</t>
  </si>
  <si>
    <t>Basis of Calculations</t>
  </si>
  <si>
    <t>Solar Cost Offset Calculation</t>
  </si>
  <si>
    <t>PG&amp;E / SCE / SDG&amp;E official rate sheets 2025</t>
  </si>
  <si>
    <r>
      <rPr>
        <b/>
        <sz val="11"/>
        <color theme="1"/>
        <rFont val="Calibri"/>
        <family val="2"/>
        <scheme val="minor"/>
      </rPr>
      <t>Solar Cost Offset Calculation -</t>
    </r>
    <r>
      <rPr>
        <sz val="11"/>
        <color theme="1"/>
        <rFont val="Calibri"/>
        <family val="2"/>
        <scheme val="minor"/>
      </rPr>
      <t xml:space="preserve"> provides an estimate of the common area energy loads by applying the overall energy consumption percentage of T24 to the total building footprint. 
</t>
    </r>
    <r>
      <rPr>
        <b/>
        <sz val="11"/>
        <color theme="1"/>
        <rFont val="Calibri"/>
        <family val="2"/>
        <scheme val="minor"/>
      </rPr>
      <t>Design Phase Estimate</t>
    </r>
    <r>
      <rPr>
        <sz val="11"/>
        <color theme="1"/>
        <rFont val="Calibri"/>
        <family val="2"/>
        <scheme val="minor"/>
      </rPr>
      <t xml:space="preserve"> - actual energy consumption will vary based on real-world usage patterns and operational conditions.</t>
    </r>
  </si>
  <si>
    <t>Energy Use and Cost by Category</t>
  </si>
  <si>
    <t>Not developed yet</t>
  </si>
  <si>
    <t>Enter blended or non-blended not both</t>
  </si>
  <si>
    <t>Project: Terraces at Lafayette</t>
  </si>
  <si>
    <t>Fitness</t>
  </si>
  <si>
    <t>Clubhouse</t>
  </si>
  <si>
    <t>Studio</t>
  </si>
  <si>
    <t>Terraces at Lafayette</t>
  </si>
  <si>
    <t>Heat Pump Pool Heater</t>
  </si>
  <si>
    <t>Water Feature</t>
  </si>
  <si>
    <t>Total kWh</t>
  </si>
  <si>
    <t>Non-Res Buildings</t>
  </si>
  <si>
    <t>Site Uses</t>
  </si>
  <si>
    <t>Elevators (15 total spread across buildings)</t>
  </si>
  <si>
    <t>Elevators &amp; Corridors— subtotal</t>
  </si>
  <si>
    <t xml:space="preserve">Corridor Ventilation </t>
  </si>
  <si>
    <t xml:space="preserve">Site Lighting </t>
  </si>
  <si>
    <t>Pool</t>
  </si>
  <si>
    <t>EV Chargers (Level 2 low power)</t>
  </si>
  <si>
    <t>Date: 10/24/2025</t>
  </si>
  <si>
    <t>EV Chargers (L2 16Amp)</t>
  </si>
  <si>
    <t>EV Chargers (L2 32Amp)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</si>
</sst>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_(* #,##0_);_(* \(#,##0\);_(* &quot;-&quot;??_);_(@_)"/>
    <numFmt numFmtId="166" formatCode="_(&quot;$&quot;* #,##0_);_(&quot;$&quot;* \(#,##0\);_(&quot;$&quot;* &quot;-&quot;??_);_(@_)"/>
  </numFmts>
  <fonts count="15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name val="Calibri"/>
      <family val="2"/>
    </font>
    <font>
      <b/>
      <sz val="12"/>
      <color theme="1"/>
      <name val="Calibri"/>
      <family val="2"/>
      <scheme val="minor"/>
    </font>
    <font>
      <sz val="12"/>
      <name val="Calibri"/>
      <family val="2"/>
    </font>
    <font>
      <b/>
      <sz val="12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rgb="FFEEEEE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BDDEB8"/>
        <bgColor rgb="FFEAECEE"/>
      </patternFill>
    </fill>
    <fill>
      <patternFill patternType="solid">
        <fgColor rgb="FFBDDEB8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</borders>
  <cellStyleXfs count="3">
    <xf numFmtId="0" fontId="0" fillId="0" borderId="0"/>
    <xf numFmtId="43" fontId="3" fillId="0" borderId="0"/>
    <xf numFmtId="44" fontId="3" fillId="0" borderId="0"/>
  </cellStyleXfs>
  <cellXfs count="52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0" borderId="1" xfId="0" applyBorder="1"/>
    <xf numFmtId="0" fontId="2" fillId="0" borderId="0" xfId="0" applyFont="1"/>
    <xf numFmtId="0" fontId="2" fillId="2" borderId="0" xfId="0" applyFont="1" applyFill="1" applyAlignment="1">
      <alignment horizontal="center"/>
    </xf>
    <xf numFmtId="0" fontId="2" fillId="2" borderId="0" xfId="0" applyFont="1" applyFill="1"/>
    <xf numFmtId="165" fontId="0" fillId="0" borderId="0" xfId="1" applyNumberFormat="1" applyFont="1"/>
    <xf numFmtId="165" fontId="2" fillId="0" borderId="0" xfId="1" applyNumberFormat="1" applyFont="1"/>
    <xf numFmtId="166" fontId="0" fillId="0" borderId="0" xfId="2" applyNumberFormat="1" applyFont="1"/>
    <xf numFmtId="166" fontId="2" fillId="0" borderId="0" xfId="2" applyNumberFormat="1" applyFont="1"/>
    <xf numFmtId="0" fontId="0" fillId="3" borderId="0" xfId="0" applyFill="1"/>
    <xf numFmtId="0" fontId="0" fillId="3" borderId="1" xfId="0" applyFill="1" applyBorder="1"/>
    <xf numFmtId="0" fontId="0" fillId="4" borderId="0" xfId="0" applyFill="1"/>
    <xf numFmtId="0" fontId="0" fillId="5" borderId="1" xfId="0" applyFill="1" applyBorder="1"/>
    <xf numFmtId="0" fontId="5" fillId="0" borderId="0" xfId="0" applyFont="1"/>
    <xf numFmtId="0" fontId="6" fillId="0" borderId="0" xfId="0" applyFont="1"/>
    <xf numFmtId="14" fontId="6" fillId="0" borderId="0" xfId="0" applyNumberFormat="1" applyFont="1" applyAlignment="1">
      <alignment horizontal="left"/>
    </xf>
    <xf numFmtId="0" fontId="0" fillId="0" borderId="0" xfId="0" applyAlignment="1">
      <alignment horizontal="left" vertical="top" wrapText="1"/>
    </xf>
    <xf numFmtId="0" fontId="8" fillId="0" borderId="0" xfId="0" applyFont="1" applyAlignment="1">
      <alignment horizontal="left" vertical="center"/>
    </xf>
    <xf numFmtId="0" fontId="7" fillId="0" borderId="0" xfId="0" applyFont="1"/>
    <xf numFmtId="0" fontId="8" fillId="0" borderId="0" xfId="0" applyFont="1" applyAlignment="1">
      <alignment horizontal="right" vertical="center"/>
    </xf>
    <xf numFmtId="0" fontId="0" fillId="7" borderId="0" xfId="0" applyFill="1"/>
    <xf numFmtId="0" fontId="9" fillId="0" borderId="0" xfId="0" applyFont="1" applyAlignment="1">
      <alignment horizontal="center"/>
    </xf>
    <xf numFmtId="0" fontId="2" fillId="6" borderId="0" xfId="0" applyFont="1" applyFill="1" applyAlignment="1">
      <alignment horizontal="left" vertical="center"/>
    </xf>
    <xf numFmtId="0" fontId="0" fillId="10" borderId="1" xfId="0" applyFill="1" applyBorder="1"/>
    <xf numFmtId="0" fontId="0" fillId="11" borderId="0" xfId="0" applyFill="1"/>
    <xf numFmtId="164" fontId="7" fillId="0" borderId="0" xfId="0" applyNumberFormat="1" applyFont="1"/>
    <xf numFmtId="0" fontId="0" fillId="12" borderId="0" xfId="0" applyFill="1"/>
    <xf numFmtId="2" fontId="0" fillId="0" borderId="0" xfId="0" applyNumberFormat="1"/>
    <xf numFmtId="0" fontId="4" fillId="0" borderId="0" xfId="0" applyFont="1" applyAlignment="1">
      <alignment horizontal="center"/>
    </xf>
    <xf numFmtId="3" fontId="0" fillId="0" borderId="0" xfId="0" applyNumberFormat="1"/>
    <xf numFmtId="3" fontId="7" fillId="0" borderId="0" xfId="0" applyNumberFormat="1" applyFont="1" applyAlignment="1">
      <alignment horizontal="right"/>
    </xf>
    <xf numFmtId="0" fontId="11" fillId="8" borderId="2" xfId="0" applyFont="1" applyFill="1" applyBorder="1" applyAlignment="1">
      <alignment horizontal="center"/>
    </xf>
    <xf numFmtId="0" fontId="11" fillId="8" borderId="3" xfId="0" applyFont="1" applyFill="1" applyBorder="1" applyAlignment="1">
      <alignment horizontal="center"/>
    </xf>
    <xf numFmtId="0" fontId="6" fillId="0" borderId="2" xfId="0" applyFont="1" applyBorder="1"/>
    <xf numFmtId="3" fontId="6" fillId="0" borderId="2" xfId="0" applyNumberFormat="1" applyFont="1" applyBorder="1"/>
    <xf numFmtId="164" fontId="6" fillId="0" borderId="3" xfId="0" applyNumberFormat="1" applyFont="1" applyBorder="1"/>
    <xf numFmtId="0" fontId="11" fillId="7" borderId="2" xfId="0" applyFont="1" applyFill="1" applyBorder="1" applyAlignment="1">
      <alignment horizontal="right"/>
    </xf>
    <xf numFmtId="3" fontId="12" fillId="7" borderId="2" xfId="0" applyNumberFormat="1" applyFont="1" applyFill="1" applyBorder="1" applyAlignment="1">
      <alignment horizontal="right"/>
    </xf>
    <xf numFmtId="164" fontId="12" fillId="7" borderId="3" xfId="0" applyNumberFormat="1" applyFont="1" applyFill="1" applyBorder="1" applyAlignment="1">
      <alignment horizontal="right"/>
    </xf>
    <xf numFmtId="3" fontId="6" fillId="11" borderId="2" xfId="0" applyNumberFormat="1" applyFont="1" applyFill="1" applyBorder="1" applyAlignment="1">
      <alignment horizontal="right"/>
    </xf>
    <xf numFmtId="164" fontId="6" fillId="11" borderId="3" xfId="0" applyNumberFormat="1" applyFont="1" applyFill="1" applyBorder="1" applyAlignment="1">
      <alignment horizontal="right"/>
    </xf>
    <xf numFmtId="0" fontId="11" fillId="9" borderId="0" xfId="0" applyFont="1" applyFill="1"/>
    <xf numFmtId="3" fontId="12" fillId="9" borderId="0" xfId="0" applyNumberFormat="1" applyFont="1" applyFill="1"/>
    <xf numFmtId="0" fontId="13" fillId="11" borderId="2" xfId="0" applyFont="1" applyFill="1" applyBorder="1" applyAlignment="1">
      <alignment horizontal="left"/>
    </xf>
    <xf numFmtId="0" fontId="14" fillId="0" borderId="0" xfId="0" applyFont="1"/>
    <xf numFmtId="0" fontId="0" fillId="0" borderId="0" xfId="0" applyAlignment="1">
      <alignment vertical="top" wrapText="1"/>
    </xf>
    <xf numFmtId="0" fontId="1" fillId="0" borderId="0" xfId="0" applyFont="1"/>
    <xf numFmtId="0" fontId="0" fillId="0" borderId="0" xfId="0"/>
    <xf numFmtId="0" fontId="0" fillId="0" borderId="0" xfId="0" applyAlignment="1">
      <alignment horizontal="left" vertical="top" wrapText="1"/>
    </xf>
    <xf numFmtId="0" fontId="10" fillId="0" borderId="0" xfId="0" applyFont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  <colors>
    <mruColors>
      <color rgb="FFBDDE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75182</xdr:rowOff>
    </xdr:from>
    <xdr:to>
      <xdr:col>2</xdr:col>
      <xdr:colOff>542926</xdr:colOff>
      <xdr:row>0</xdr:row>
      <xdr:rowOff>1270905</xdr:rowOff>
    </xdr:to>
    <xdr:pic>
      <xdr:nvPicPr>
        <xdr:cNvPr id="2" name="officeArt object">
          <a:extLst>
            <a:ext uri="{FF2B5EF4-FFF2-40B4-BE49-F238E27FC236}">
              <a16:creationId xmlns:a16="http://schemas.microsoft.com/office/drawing/2014/main" id="{5A3F23B4-B264-E051-53B2-5E96183FE2D7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75182"/>
          <a:ext cx="6334125" cy="1195723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/>
  </sheetViews>
  <sheetFormatPr defaultColWidth="8.85546875" defaultRowHeight="15" x14ac:dyDescent="0.25"/>
  <cols>
    <col min="1" max="1" width="120" customWidth="1"/>
  </cols>
  <sheetData>
    <row r="1" spans="1:1" ht="18.95" customHeight="1" x14ac:dyDescent="0.3">
      <c r="A1" s="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69"/>
  <sheetViews>
    <sheetView topLeftCell="A139" zoomScale="130" zoomScaleNormal="130" workbookViewId="0">
      <selection activeCell="B165" sqref="B165"/>
    </sheetView>
  </sheetViews>
  <sheetFormatPr defaultColWidth="8.85546875" defaultRowHeight="15" x14ac:dyDescent="0.25"/>
  <cols>
    <col min="1" max="1" width="40.140625" customWidth="1"/>
    <col min="2" max="2" width="18.42578125" customWidth="1"/>
    <col min="3" max="3" width="21.85546875" bestFit="1" customWidth="1"/>
    <col min="4" max="4" width="20.140625" bestFit="1" customWidth="1"/>
    <col min="8" max="8" width="16.5703125" customWidth="1"/>
    <col min="9" max="9" width="10.7109375" customWidth="1"/>
  </cols>
  <sheetData>
    <row r="1" spans="1:14" ht="18.95" customHeight="1" x14ac:dyDescent="0.3">
      <c r="A1" s="48" t="s">
        <v>9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</row>
    <row r="3" spans="1:14" x14ac:dyDescent="0.25">
      <c r="A3" s="4" t="s">
        <v>10</v>
      </c>
      <c r="B3" s="11" t="s">
        <v>289</v>
      </c>
      <c r="D3" s="4" t="s">
        <v>11</v>
      </c>
      <c r="E3" s="11">
        <v>315</v>
      </c>
      <c r="G3" s="4" t="s">
        <v>12</v>
      </c>
      <c r="H3" s="11">
        <v>0.22</v>
      </c>
      <c r="J3" s="4" t="s">
        <v>13</v>
      </c>
      <c r="K3" s="11">
        <v>1.5</v>
      </c>
      <c r="M3" s="4" t="s">
        <v>14</v>
      </c>
      <c r="N3">
        <v>0</v>
      </c>
    </row>
    <row r="4" spans="1:14" x14ac:dyDescent="0.25">
      <c r="G4" s="4" t="s">
        <v>15</v>
      </c>
      <c r="H4">
        <v>0</v>
      </c>
      <c r="J4" s="4" t="s">
        <v>16</v>
      </c>
      <c r="K4">
        <v>0</v>
      </c>
      <c r="M4" s="4" t="s">
        <v>17</v>
      </c>
      <c r="N4">
        <v>12</v>
      </c>
    </row>
    <row r="5" spans="1:14" x14ac:dyDescent="0.25">
      <c r="M5" s="4" t="s">
        <v>18</v>
      </c>
      <c r="N5">
        <f>H4*N3*N4</f>
        <v>0</v>
      </c>
    </row>
    <row r="6" spans="1:14" x14ac:dyDescent="0.25">
      <c r="M6" s="4" t="s">
        <v>19</v>
      </c>
      <c r="N6">
        <f>K4*N4</f>
        <v>0</v>
      </c>
    </row>
    <row r="8" spans="1:14" ht="18.95" customHeight="1" x14ac:dyDescent="0.3">
      <c r="A8" s="48" t="s">
        <v>20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</row>
    <row r="10" spans="1:14" x14ac:dyDescent="0.25">
      <c r="A10" s="4" t="s">
        <v>21</v>
      </c>
    </row>
    <row r="11" spans="1:14" x14ac:dyDescent="0.25">
      <c r="A11" s="5" t="s">
        <v>22</v>
      </c>
      <c r="B11" s="5" t="s">
        <v>23</v>
      </c>
      <c r="C11" s="5" t="s">
        <v>24</v>
      </c>
      <c r="D11" s="5" t="s">
        <v>25</v>
      </c>
      <c r="E11" s="5" t="s">
        <v>26</v>
      </c>
    </row>
    <row r="12" spans="1:14" x14ac:dyDescent="0.25">
      <c r="A12" s="3" t="s">
        <v>27</v>
      </c>
      <c r="B12" s="12">
        <v>36802.01</v>
      </c>
      <c r="C12" s="12" t="s">
        <v>28</v>
      </c>
      <c r="D12" s="12" t="s">
        <v>29</v>
      </c>
      <c r="E12" s="12"/>
    </row>
    <row r="13" spans="1:14" x14ac:dyDescent="0.25">
      <c r="A13" s="3" t="s">
        <v>30</v>
      </c>
      <c r="B13" s="12">
        <v>0</v>
      </c>
      <c r="C13" s="12" t="s">
        <v>28</v>
      </c>
      <c r="D13" s="12" t="s">
        <v>29</v>
      </c>
      <c r="E13" s="12"/>
    </row>
    <row r="14" spans="1:14" x14ac:dyDescent="0.25">
      <c r="A14" s="3" t="s">
        <v>31</v>
      </c>
      <c r="B14" s="12">
        <v>0</v>
      </c>
      <c r="C14" s="12" t="s">
        <v>29</v>
      </c>
      <c r="D14" s="12" t="s">
        <v>29</v>
      </c>
      <c r="E14" s="12"/>
    </row>
    <row r="15" spans="1:14" x14ac:dyDescent="0.25">
      <c r="A15" s="3" t="s">
        <v>32</v>
      </c>
      <c r="B15" s="12">
        <v>0</v>
      </c>
      <c r="C15" s="12" t="s">
        <v>29</v>
      </c>
      <c r="D15" s="12" t="s">
        <v>29</v>
      </c>
      <c r="E15" s="12"/>
    </row>
    <row r="16" spans="1:14" x14ac:dyDescent="0.25">
      <c r="A16" s="3" t="s">
        <v>33</v>
      </c>
      <c r="B16" s="12">
        <v>0</v>
      </c>
      <c r="C16" s="12" t="s">
        <v>29</v>
      </c>
      <c r="D16" s="12" t="s">
        <v>29</v>
      </c>
      <c r="E16" s="12"/>
    </row>
    <row r="17" spans="1:5" x14ac:dyDescent="0.25">
      <c r="A17" s="3" t="s">
        <v>34</v>
      </c>
      <c r="B17" s="12">
        <v>0</v>
      </c>
      <c r="C17" s="12" t="s">
        <v>29</v>
      </c>
      <c r="D17" s="12" t="s">
        <v>29</v>
      </c>
      <c r="E17" s="12"/>
    </row>
    <row r="18" spans="1:5" x14ac:dyDescent="0.25">
      <c r="A18" s="3" t="s">
        <v>35</v>
      </c>
      <c r="B18" s="12">
        <v>0</v>
      </c>
      <c r="C18" s="12" t="s">
        <v>29</v>
      </c>
      <c r="D18" s="12" t="s">
        <v>29</v>
      </c>
      <c r="E18" s="12"/>
    </row>
    <row r="19" spans="1:5" x14ac:dyDescent="0.25">
      <c r="A19" s="3" t="s">
        <v>36</v>
      </c>
      <c r="B19" s="12">
        <v>0</v>
      </c>
      <c r="C19" s="12" t="s">
        <v>29</v>
      </c>
      <c r="D19" s="12" t="s">
        <v>29</v>
      </c>
      <c r="E19" s="12"/>
    </row>
    <row r="20" spans="1:5" x14ac:dyDescent="0.25">
      <c r="A20" s="3" t="s">
        <v>37</v>
      </c>
      <c r="B20" s="12">
        <v>0</v>
      </c>
      <c r="C20" s="12" t="s">
        <v>29</v>
      </c>
      <c r="D20" s="12" t="s">
        <v>29</v>
      </c>
      <c r="E20" s="12"/>
    </row>
    <row r="21" spans="1:5" x14ac:dyDescent="0.25">
      <c r="A21" s="3" t="s">
        <v>38</v>
      </c>
      <c r="B21" s="12">
        <v>0</v>
      </c>
      <c r="C21" s="12" t="s">
        <v>28</v>
      </c>
      <c r="D21" s="12" t="s">
        <v>29</v>
      </c>
      <c r="E21" s="12"/>
    </row>
    <row r="22" spans="1:5" x14ac:dyDescent="0.25">
      <c r="A22" s="3" t="s">
        <v>39</v>
      </c>
      <c r="B22" s="12">
        <v>0</v>
      </c>
      <c r="C22" s="12" t="s">
        <v>29</v>
      </c>
      <c r="D22" s="12" t="s">
        <v>29</v>
      </c>
      <c r="E22" s="12"/>
    </row>
    <row r="23" spans="1:5" x14ac:dyDescent="0.25">
      <c r="A23" s="3" t="s">
        <v>40</v>
      </c>
      <c r="B23" s="12">
        <v>0</v>
      </c>
      <c r="C23" s="12" t="s">
        <v>29</v>
      </c>
      <c r="D23" s="12" t="s">
        <v>29</v>
      </c>
      <c r="E23" s="12"/>
    </row>
    <row r="24" spans="1:5" x14ac:dyDescent="0.25">
      <c r="A24" s="3" t="s">
        <v>41</v>
      </c>
      <c r="B24" s="12">
        <v>0</v>
      </c>
      <c r="C24" s="12" t="s">
        <v>29</v>
      </c>
      <c r="D24" s="12" t="s">
        <v>29</v>
      </c>
      <c r="E24" s="12" t="s">
        <v>284</v>
      </c>
    </row>
    <row r="25" spans="1:5" x14ac:dyDescent="0.25">
      <c r="A25" s="3" t="s">
        <v>42</v>
      </c>
      <c r="B25" s="14">
        <v>0</v>
      </c>
      <c r="C25" s="14" t="s">
        <v>28</v>
      </c>
      <c r="D25" s="14" t="s">
        <v>29</v>
      </c>
      <c r="E25" s="14" t="s">
        <v>275</v>
      </c>
    </row>
    <row r="26" spans="1:5" x14ac:dyDescent="0.25">
      <c r="A26" s="25" t="s">
        <v>43</v>
      </c>
      <c r="B26" s="25">
        <v>0</v>
      </c>
      <c r="C26" s="25" t="s">
        <v>29</v>
      </c>
      <c r="D26" s="25" t="s">
        <v>29</v>
      </c>
      <c r="E26" s="25" t="s">
        <v>283</v>
      </c>
    </row>
    <row r="27" spans="1:5" x14ac:dyDescent="0.25">
      <c r="A27" s="25" t="s">
        <v>44</v>
      </c>
      <c r="B27" s="25">
        <v>0</v>
      </c>
      <c r="C27" s="25" t="s">
        <v>29</v>
      </c>
      <c r="D27" s="25" t="s">
        <v>29</v>
      </c>
      <c r="E27" s="25"/>
    </row>
    <row r="28" spans="1:5" x14ac:dyDescent="0.25">
      <c r="A28" s="25" t="s">
        <v>45</v>
      </c>
      <c r="B28" s="25">
        <v>0</v>
      </c>
      <c r="C28" s="25" t="s">
        <v>29</v>
      </c>
      <c r="D28" s="25" t="s">
        <v>29</v>
      </c>
      <c r="E28" s="25"/>
    </row>
    <row r="29" spans="1:5" x14ac:dyDescent="0.25">
      <c r="A29" s="25" t="s">
        <v>45</v>
      </c>
      <c r="B29" s="25">
        <v>0</v>
      </c>
      <c r="C29" s="25" t="s">
        <v>29</v>
      </c>
      <c r="D29" s="25" t="s">
        <v>29</v>
      </c>
      <c r="E29" s="25"/>
    </row>
    <row r="30" spans="1:5" x14ac:dyDescent="0.25">
      <c r="A30" s="25" t="s">
        <v>45</v>
      </c>
      <c r="B30" s="25">
        <v>0</v>
      </c>
      <c r="C30" s="25" t="s">
        <v>29</v>
      </c>
      <c r="D30" s="25" t="s">
        <v>29</v>
      </c>
      <c r="E30" s="25"/>
    </row>
    <row r="31" spans="1:5" x14ac:dyDescent="0.25">
      <c r="A31" s="25" t="s">
        <v>46</v>
      </c>
      <c r="B31" s="25">
        <v>0</v>
      </c>
      <c r="C31" s="25" t="s">
        <v>29</v>
      </c>
      <c r="D31" s="25" t="s">
        <v>29</v>
      </c>
      <c r="E31" s="25"/>
    </row>
    <row r="32" spans="1:5" x14ac:dyDescent="0.25">
      <c r="A32" s="25" t="s">
        <v>46</v>
      </c>
      <c r="B32" s="25">
        <v>0</v>
      </c>
      <c r="C32" s="25" t="s">
        <v>29</v>
      </c>
      <c r="D32" s="25" t="s">
        <v>29</v>
      </c>
      <c r="E32" s="25"/>
    </row>
    <row r="33" spans="1:5" x14ac:dyDescent="0.25">
      <c r="A33" s="25" t="s">
        <v>46</v>
      </c>
      <c r="B33" s="25">
        <v>0</v>
      </c>
      <c r="C33" s="25" t="s">
        <v>29</v>
      </c>
      <c r="D33" s="25" t="s">
        <v>29</v>
      </c>
      <c r="E33" s="25"/>
    </row>
    <row r="34" spans="1:5" x14ac:dyDescent="0.25">
      <c r="A34" s="25" t="s">
        <v>47</v>
      </c>
      <c r="B34" s="25">
        <v>0</v>
      </c>
      <c r="C34" s="25" t="s">
        <v>29</v>
      </c>
      <c r="D34" s="25" t="s">
        <v>29</v>
      </c>
      <c r="E34" s="25"/>
    </row>
    <row r="35" spans="1:5" x14ac:dyDescent="0.25">
      <c r="A35" s="25" t="s">
        <v>47</v>
      </c>
      <c r="B35" s="25">
        <v>0</v>
      </c>
      <c r="C35" s="25" t="s">
        <v>29</v>
      </c>
      <c r="D35" s="25" t="s">
        <v>29</v>
      </c>
      <c r="E35" s="25"/>
    </row>
    <row r="36" spans="1:5" x14ac:dyDescent="0.25">
      <c r="A36" s="25" t="s">
        <v>47</v>
      </c>
      <c r="B36" s="25">
        <v>0</v>
      </c>
      <c r="C36" s="25" t="s">
        <v>29</v>
      </c>
      <c r="D36" s="25" t="s">
        <v>29</v>
      </c>
      <c r="E36" s="25"/>
    </row>
    <row r="37" spans="1:5" x14ac:dyDescent="0.25">
      <c r="A37" s="25" t="s">
        <v>48</v>
      </c>
      <c r="B37" s="25">
        <v>0</v>
      </c>
      <c r="C37" s="25" t="s">
        <v>29</v>
      </c>
      <c r="D37" s="25" t="s">
        <v>29</v>
      </c>
      <c r="E37" s="25"/>
    </row>
    <row r="38" spans="1:5" x14ac:dyDescent="0.25">
      <c r="A38" s="3" t="s">
        <v>42</v>
      </c>
      <c r="B38" s="12">
        <v>0</v>
      </c>
      <c r="C38" s="12" t="s">
        <v>28</v>
      </c>
      <c r="D38" s="12" t="s">
        <v>29</v>
      </c>
      <c r="E38" s="12"/>
    </row>
    <row r="39" spans="1:5" x14ac:dyDescent="0.25">
      <c r="A39" s="3" t="s">
        <v>49</v>
      </c>
      <c r="B39" s="12">
        <v>0</v>
      </c>
      <c r="C39" s="12" t="s">
        <v>28</v>
      </c>
      <c r="D39" s="12" t="s">
        <v>28</v>
      </c>
      <c r="E39" s="12"/>
    </row>
    <row r="41" spans="1:5" x14ac:dyDescent="0.25">
      <c r="A41" s="4" t="s">
        <v>50</v>
      </c>
    </row>
    <row r="42" spans="1:5" x14ac:dyDescent="0.25">
      <c r="A42" t="s">
        <v>51</v>
      </c>
      <c r="B42" s="11">
        <v>15</v>
      </c>
    </row>
    <row r="43" spans="1:5" x14ac:dyDescent="0.25">
      <c r="A43" t="s">
        <v>52</v>
      </c>
      <c r="B43" s="11">
        <v>504</v>
      </c>
    </row>
    <row r="44" spans="1:5" x14ac:dyDescent="0.25">
      <c r="A44" t="s">
        <v>53</v>
      </c>
      <c r="B44" s="11">
        <v>30</v>
      </c>
    </row>
    <row r="45" spans="1:5" x14ac:dyDescent="0.25">
      <c r="A45" t="s">
        <v>54</v>
      </c>
      <c r="B45" s="29">
        <v>26</v>
      </c>
    </row>
    <row r="46" spans="1:5" x14ac:dyDescent="0.25">
      <c r="A46" t="s">
        <v>55</v>
      </c>
      <c r="B46">
        <v>7.2</v>
      </c>
    </row>
    <row r="47" spans="1:5" x14ac:dyDescent="0.25">
      <c r="A47" t="s">
        <v>56</v>
      </c>
      <c r="B47">
        <v>6</v>
      </c>
    </row>
    <row r="48" spans="1:5" x14ac:dyDescent="0.25">
      <c r="A48" t="s">
        <v>53</v>
      </c>
      <c r="B48" s="11">
        <v>30</v>
      </c>
    </row>
    <row r="49" spans="1:5" x14ac:dyDescent="0.25">
      <c r="A49" t="s">
        <v>54</v>
      </c>
      <c r="B49" s="29">
        <v>126</v>
      </c>
    </row>
    <row r="50" spans="1:5" x14ac:dyDescent="0.25">
      <c r="A50" t="s">
        <v>55</v>
      </c>
      <c r="B50">
        <v>3.5</v>
      </c>
    </row>
    <row r="51" spans="1:5" x14ac:dyDescent="0.25">
      <c r="A51" t="s">
        <v>56</v>
      </c>
      <c r="B51">
        <v>6</v>
      </c>
    </row>
    <row r="52" spans="1:5" x14ac:dyDescent="0.25">
      <c r="A52" t="s">
        <v>57</v>
      </c>
      <c r="B52" s="11">
        <v>2</v>
      </c>
    </row>
    <row r="54" spans="1:5" x14ac:dyDescent="0.25">
      <c r="A54" s="4" t="s">
        <v>58</v>
      </c>
    </row>
    <row r="55" spans="1:5" x14ac:dyDescent="0.25">
      <c r="A55" s="6" t="s">
        <v>59</v>
      </c>
      <c r="B55" s="6" t="s">
        <v>60</v>
      </c>
      <c r="C55" s="6" t="s">
        <v>61</v>
      </c>
      <c r="D55" s="6" t="s">
        <v>62</v>
      </c>
      <c r="E55" s="6" t="s">
        <v>63</v>
      </c>
    </row>
    <row r="56" spans="1:5" x14ac:dyDescent="0.25">
      <c r="A56" t="s">
        <v>64</v>
      </c>
      <c r="B56" s="11">
        <v>5898</v>
      </c>
      <c r="C56">
        <v>11</v>
      </c>
      <c r="D56">
        <v>365</v>
      </c>
      <c r="E56">
        <v>0.6</v>
      </c>
    </row>
    <row r="57" spans="1:5" x14ac:dyDescent="0.25">
      <c r="A57" t="s">
        <v>65</v>
      </c>
      <c r="B57" s="11">
        <v>2502</v>
      </c>
      <c r="C57">
        <v>11</v>
      </c>
      <c r="D57">
        <v>365</v>
      </c>
      <c r="E57">
        <v>0.6</v>
      </c>
    </row>
    <row r="58" spans="1:5" x14ac:dyDescent="0.25">
      <c r="A58" t="s">
        <v>66</v>
      </c>
      <c r="B58" s="11">
        <v>0</v>
      </c>
      <c r="C58">
        <v>11</v>
      </c>
      <c r="D58">
        <v>365</v>
      </c>
      <c r="E58">
        <v>0.6</v>
      </c>
    </row>
    <row r="59" spans="1:5" x14ac:dyDescent="0.25">
      <c r="A59" t="s">
        <v>67</v>
      </c>
      <c r="B59" s="11">
        <v>2340</v>
      </c>
      <c r="C59">
        <v>6</v>
      </c>
      <c r="D59">
        <v>365</v>
      </c>
      <c r="E59">
        <v>1</v>
      </c>
    </row>
    <row r="60" spans="1:5" x14ac:dyDescent="0.25">
      <c r="A60" t="s">
        <v>68</v>
      </c>
      <c r="B60" s="11">
        <v>0</v>
      </c>
      <c r="C60">
        <v>11</v>
      </c>
      <c r="D60">
        <v>365</v>
      </c>
      <c r="E60">
        <v>1</v>
      </c>
    </row>
    <row r="61" spans="1:5" x14ac:dyDescent="0.25">
      <c r="A61" t="s">
        <v>69</v>
      </c>
      <c r="B61" s="11">
        <v>263.5</v>
      </c>
      <c r="C61">
        <v>6</v>
      </c>
      <c r="D61">
        <v>365</v>
      </c>
      <c r="E61">
        <v>1</v>
      </c>
    </row>
    <row r="62" spans="1:5" x14ac:dyDescent="0.25">
      <c r="A62" t="s">
        <v>70</v>
      </c>
      <c r="B62" s="11">
        <v>0</v>
      </c>
      <c r="C62">
        <v>6</v>
      </c>
      <c r="D62">
        <v>365</v>
      </c>
      <c r="E62">
        <v>1</v>
      </c>
    </row>
    <row r="64" spans="1:5" x14ac:dyDescent="0.25">
      <c r="A64" s="4" t="s">
        <v>71</v>
      </c>
    </row>
    <row r="65" spans="1:17" x14ac:dyDescent="0.25">
      <c r="A65" t="s">
        <v>72</v>
      </c>
      <c r="B65" s="11">
        <v>0</v>
      </c>
    </row>
    <row r="66" spans="1:17" x14ac:dyDescent="0.25">
      <c r="A66" t="s">
        <v>73</v>
      </c>
      <c r="B66" s="11" t="s">
        <v>28</v>
      </c>
    </row>
    <row r="67" spans="1:17" x14ac:dyDescent="0.25">
      <c r="A67" t="s">
        <v>74</v>
      </c>
      <c r="B67">
        <v>0.1</v>
      </c>
    </row>
    <row r="68" spans="1:17" x14ac:dyDescent="0.25">
      <c r="A68" t="s">
        <v>75</v>
      </c>
      <c r="B68">
        <v>12</v>
      </c>
    </row>
    <row r="69" spans="1:17" x14ac:dyDescent="0.25">
      <c r="A69" t="s">
        <v>76</v>
      </c>
      <c r="B69">
        <v>365</v>
      </c>
    </row>
    <row r="71" spans="1:17" x14ac:dyDescent="0.25">
      <c r="A71" s="4" t="s">
        <v>77</v>
      </c>
    </row>
    <row r="72" spans="1:17" x14ac:dyDescent="0.25">
      <c r="A72" t="s">
        <v>78</v>
      </c>
      <c r="B72" s="11" t="s">
        <v>290</v>
      </c>
    </row>
    <row r="73" spans="1:17" x14ac:dyDescent="0.25">
      <c r="A73" t="s">
        <v>79</v>
      </c>
      <c r="B73" s="11">
        <v>1749</v>
      </c>
    </row>
    <row r="74" spans="1:17" x14ac:dyDescent="0.25">
      <c r="A74" t="s">
        <v>80</v>
      </c>
      <c r="B74">
        <v>3</v>
      </c>
      <c r="K74" s="13">
        <v>1</v>
      </c>
      <c r="L74" s="13">
        <v>1.5</v>
      </c>
      <c r="M74" s="13">
        <v>2</v>
      </c>
      <c r="N74" s="13">
        <v>2.5</v>
      </c>
      <c r="O74" s="13">
        <v>3</v>
      </c>
      <c r="P74" s="13">
        <v>3.5</v>
      </c>
      <c r="Q74" s="13">
        <v>4</v>
      </c>
    </row>
    <row r="75" spans="1:17" x14ac:dyDescent="0.25">
      <c r="A75" t="s">
        <v>81</v>
      </c>
      <c r="B75">
        <v>0.5</v>
      </c>
    </row>
    <row r="76" spans="1:17" x14ac:dyDescent="0.25">
      <c r="A76" t="s">
        <v>82</v>
      </c>
      <c r="B76">
        <v>8</v>
      </c>
    </row>
    <row r="77" spans="1:17" x14ac:dyDescent="0.25">
      <c r="A77" t="s">
        <v>83</v>
      </c>
      <c r="B77">
        <v>180</v>
      </c>
    </row>
    <row r="78" spans="1:17" x14ac:dyDescent="0.25">
      <c r="A78" t="s">
        <v>84</v>
      </c>
      <c r="B78">
        <v>0.85</v>
      </c>
    </row>
    <row r="79" spans="1:17" x14ac:dyDescent="0.25">
      <c r="A79" t="s">
        <v>85</v>
      </c>
      <c r="B79">
        <v>4</v>
      </c>
    </row>
    <row r="80" spans="1:17" x14ac:dyDescent="0.25">
      <c r="A80" s="28" t="s">
        <v>80</v>
      </c>
      <c r="B80" s="28">
        <v>2</v>
      </c>
    </row>
    <row r="81" spans="1:17" x14ac:dyDescent="0.25">
      <c r="A81" t="s">
        <v>86</v>
      </c>
      <c r="B81">
        <v>0.7</v>
      </c>
    </row>
    <row r="82" spans="1:17" x14ac:dyDescent="0.25">
      <c r="A82" t="s">
        <v>87</v>
      </c>
      <c r="B82">
        <v>12</v>
      </c>
    </row>
    <row r="83" spans="1:17" x14ac:dyDescent="0.25">
      <c r="A83" t="s">
        <v>88</v>
      </c>
      <c r="B83">
        <v>365</v>
      </c>
    </row>
    <row r="85" spans="1:17" x14ac:dyDescent="0.25">
      <c r="A85" s="4" t="s">
        <v>291</v>
      </c>
    </row>
    <row r="86" spans="1:17" x14ac:dyDescent="0.25">
      <c r="A86" t="s">
        <v>80</v>
      </c>
      <c r="B86">
        <v>2</v>
      </c>
    </row>
    <row r="87" spans="1:17" x14ac:dyDescent="0.25">
      <c r="A87" t="s">
        <v>87</v>
      </c>
      <c r="B87">
        <v>12</v>
      </c>
      <c r="K87" s="13">
        <v>1</v>
      </c>
      <c r="L87" s="13">
        <v>1.5</v>
      </c>
      <c r="M87" s="13">
        <v>2</v>
      </c>
      <c r="N87" s="13">
        <v>2.5</v>
      </c>
      <c r="O87" s="13">
        <v>3</v>
      </c>
      <c r="P87" s="13">
        <v>3.5</v>
      </c>
      <c r="Q87" s="13">
        <v>4</v>
      </c>
    </row>
    <row r="88" spans="1:17" x14ac:dyDescent="0.25">
      <c r="A88" t="s">
        <v>88</v>
      </c>
      <c r="B88">
        <v>365</v>
      </c>
    </row>
    <row r="89" spans="1:17" x14ac:dyDescent="0.25">
      <c r="A89" t="s">
        <v>292</v>
      </c>
      <c r="B89">
        <f>(B86*0.735*5)*B87*B88</f>
        <v>32192.999999999996</v>
      </c>
      <c r="C89">
        <f>B89*H$3</f>
        <v>7082.4599999999991</v>
      </c>
    </row>
    <row r="91" spans="1:17" x14ac:dyDescent="0.25">
      <c r="A91" s="4"/>
    </row>
    <row r="99" spans="1:9" x14ac:dyDescent="0.25">
      <c r="A99" s="4" t="s">
        <v>89</v>
      </c>
    </row>
    <row r="100" spans="1:9" x14ac:dyDescent="0.25">
      <c r="A100" t="s">
        <v>90</v>
      </c>
      <c r="B100">
        <f>INDEX(Lookups_References!$B$50:$B$54, MATCH("Heating EUI (kWh/ft²·yr) — HP min-eff", Lookups_References!$A$50:$A$54, 0))</f>
        <v>2</v>
      </c>
    </row>
    <row r="101" spans="1:9" x14ac:dyDescent="0.25">
      <c r="A101" t="s">
        <v>91</v>
      </c>
      <c r="B101">
        <f>INDEX(Lookups_References!$B$50:$B$54, MATCH("Cooling EUI (kWh/ft²·yr) — HP min-eff", Lookups_References!$A$50:$A$54, 0))</f>
        <v>1.5</v>
      </c>
    </row>
    <row r="102" spans="1:9" x14ac:dyDescent="0.25">
      <c r="A102" t="s">
        <v>92</v>
      </c>
      <c r="B102">
        <f>INDEX(Lookups_References!$B$50:$B$54, MATCH("Ventilation W/ft² (balanced const-speed)", Lookups_References!$A$50:$A$54, 0))</f>
        <v>0.3</v>
      </c>
    </row>
    <row r="103" spans="1:9" x14ac:dyDescent="0.25">
      <c r="A103" t="s">
        <v>93</v>
      </c>
      <c r="B103">
        <f>INDEX(Lookups_References!$B$50:$B$54, MATCH("Vent Hours/Day (constant)", Lookups_References!$A$50:$A$54, 0))</f>
        <v>24</v>
      </c>
    </row>
    <row r="104" spans="1:9" x14ac:dyDescent="0.25">
      <c r="A104" t="s">
        <v>76</v>
      </c>
      <c r="B104">
        <f>INDEX(Lookups_References!$B$50:$B$54, MATCH("Vent Days/Year", Lookups_References!$A$50:$A$54, 0))</f>
        <v>365</v>
      </c>
    </row>
    <row r="105" spans="1:9" x14ac:dyDescent="0.25">
      <c r="A105" t="s">
        <v>75</v>
      </c>
      <c r="B105">
        <v>12</v>
      </c>
    </row>
    <row r="106" spans="1:9" x14ac:dyDescent="0.25">
      <c r="A106" t="s">
        <v>76</v>
      </c>
      <c r="B106">
        <v>365</v>
      </c>
    </row>
    <row r="108" spans="1:9" x14ac:dyDescent="0.25">
      <c r="A108" s="4" t="s">
        <v>94</v>
      </c>
    </row>
    <row r="109" spans="1:9" x14ac:dyDescent="0.25">
      <c r="A109" s="6" t="s">
        <v>95</v>
      </c>
      <c r="B109" s="6" t="s">
        <v>23</v>
      </c>
      <c r="C109" s="6" t="s">
        <v>96</v>
      </c>
      <c r="D109" s="6" t="s">
        <v>97</v>
      </c>
      <c r="E109" s="6" t="s">
        <v>63</v>
      </c>
      <c r="F109" s="6" t="s">
        <v>98</v>
      </c>
      <c r="G109" s="6" t="s">
        <v>99</v>
      </c>
      <c r="H109" s="6" t="s">
        <v>100</v>
      </c>
      <c r="I109" s="6" t="s">
        <v>101</v>
      </c>
    </row>
    <row r="110" spans="1:9" x14ac:dyDescent="0.25">
      <c r="A110" t="s">
        <v>27</v>
      </c>
      <c r="B110" s="26">
        <f t="shared" ref="B110:B135" si="0">IFERROR(VLOOKUP(A110,$A$12:$B$39,2,FALSE),0)</f>
        <v>36802.01</v>
      </c>
      <c r="C110">
        <f>IFERROR(VLOOKUP(A110,Lookups_References!$A$3:$B$200,2,FALSE),"")</f>
        <v>0.4</v>
      </c>
      <c r="D110">
        <v>4380</v>
      </c>
      <c r="E110">
        <v>0.8</v>
      </c>
      <c r="F110">
        <v>0.9</v>
      </c>
      <c r="G110">
        <f t="shared" ref="G110:G124" si="1">B110*C110/1000</f>
        <v>14.720804000000001</v>
      </c>
      <c r="H110" s="7">
        <f t="shared" ref="H110:H135" si="2">G110*D110*E110*F110</f>
        <v>46423.527494400005</v>
      </c>
      <c r="I110" s="9">
        <f t="shared" ref="I110:I135" si="3">H110*$H$3</f>
        <v>10213.176048768</v>
      </c>
    </row>
    <row r="111" spans="1:9" x14ac:dyDescent="0.25">
      <c r="A111" t="s">
        <v>30</v>
      </c>
      <c r="B111">
        <f t="shared" si="0"/>
        <v>0</v>
      </c>
      <c r="C111">
        <f>IFERROR(VLOOKUP(A111,Lookups_References!$A$3:$B$200,2,FALSE),"")</f>
        <v>0.6</v>
      </c>
      <c r="D111">
        <v>8760</v>
      </c>
      <c r="E111">
        <v>0.8</v>
      </c>
      <c r="F111">
        <v>1</v>
      </c>
      <c r="G111">
        <f t="shared" si="1"/>
        <v>0</v>
      </c>
      <c r="H111" s="7">
        <f t="shared" si="2"/>
        <v>0</v>
      </c>
      <c r="I111" s="9">
        <f t="shared" si="3"/>
        <v>0</v>
      </c>
    </row>
    <row r="112" spans="1:9" x14ac:dyDescent="0.25">
      <c r="A112" t="s">
        <v>31</v>
      </c>
      <c r="B112">
        <f t="shared" si="0"/>
        <v>0</v>
      </c>
      <c r="C112">
        <f>IFERROR(VLOOKUP(A112,Lookups_References!$A$3:$B$200,2,FALSE),"")</f>
        <v>0.7</v>
      </c>
      <c r="D112">
        <v>4380</v>
      </c>
      <c r="E112">
        <v>0.8</v>
      </c>
      <c r="F112">
        <v>1</v>
      </c>
      <c r="G112">
        <f t="shared" si="1"/>
        <v>0</v>
      </c>
      <c r="H112" s="7">
        <f t="shared" si="2"/>
        <v>0</v>
      </c>
      <c r="I112" s="9">
        <f t="shared" si="3"/>
        <v>0</v>
      </c>
    </row>
    <row r="113" spans="1:9" x14ac:dyDescent="0.25">
      <c r="A113" t="s">
        <v>32</v>
      </c>
      <c r="B113">
        <f t="shared" si="0"/>
        <v>0</v>
      </c>
      <c r="C113">
        <f>IFERROR(VLOOKUP(A113,Lookups_References!$A$3:$B$200,2,FALSE),"")</f>
        <v>0.55000000000000004</v>
      </c>
      <c r="D113">
        <v>3000</v>
      </c>
      <c r="E113">
        <v>0.8</v>
      </c>
      <c r="F113">
        <v>1</v>
      </c>
      <c r="G113">
        <f t="shared" si="1"/>
        <v>0</v>
      </c>
      <c r="H113" s="7">
        <f t="shared" si="2"/>
        <v>0</v>
      </c>
      <c r="I113" s="9">
        <f t="shared" si="3"/>
        <v>0</v>
      </c>
    </row>
    <row r="114" spans="1:9" x14ac:dyDescent="0.25">
      <c r="A114" t="s">
        <v>33</v>
      </c>
      <c r="B114">
        <f t="shared" si="0"/>
        <v>0</v>
      </c>
      <c r="C114">
        <f>IFERROR(VLOOKUP(A114,Lookups_References!$A$3:$B$200,2,FALSE),"")</f>
        <v>0.5</v>
      </c>
      <c r="D114">
        <v>3500</v>
      </c>
      <c r="E114">
        <v>0.8</v>
      </c>
      <c r="F114">
        <v>1</v>
      </c>
      <c r="G114">
        <f t="shared" si="1"/>
        <v>0</v>
      </c>
      <c r="H114" s="7">
        <f t="shared" si="2"/>
        <v>0</v>
      </c>
      <c r="I114" s="9">
        <f t="shared" si="3"/>
        <v>0</v>
      </c>
    </row>
    <row r="115" spans="1:9" x14ac:dyDescent="0.25">
      <c r="A115" t="s">
        <v>34</v>
      </c>
      <c r="B115">
        <f t="shared" si="0"/>
        <v>0</v>
      </c>
      <c r="C115">
        <f>IFERROR(VLOOKUP(A115,Lookups_References!$A$3:$B$200,2,FALSE),"")</f>
        <v>0.6</v>
      </c>
      <c r="D115">
        <v>3000</v>
      </c>
      <c r="E115">
        <v>0.8</v>
      </c>
      <c r="F115">
        <v>1</v>
      </c>
      <c r="G115">
        <f t="shared" si="1"/>
        <v>0</v>
      </c>
      <c r="H115" s="7">
        <f t="shared" si="2"/>
        <v>0</v>
      </c>
      <c r="I115" s="9">
        <f t="shared" si="3"/>
        <v>0</v>
      </c>
    </row>
    <row r="116" spans="1:9" x14ac:dyDescent="0.25">
      <c r="A116" t="s">
        <v>35</v>
      </c>
      <c r="B116">
        <f t="shared" si="0"/>
        <v>0</v>
      </c>
      <c r="C116">
        <f>IFERROR(VLOOKUP(A116,Lookups_References!$A$3:$B$200,2,FALSE),"")</f>
        <v>0.65</v>
      </c>
      <c r="D116">
        <v>3000</v>
      </c>
      <c r="E116">
        <v>0.8</v>
      </c>
      <c r="F116">
        <v>1</v>
      </c>
      <c r="G116">
        <f t="shared" si="1"/>
        <v>0</v>
      </c>
      <c r="H116" s="7">
        <f t="shared" si="2"/>
        <v>0</v>
      </c>
      <c r="I116" s="9">
        <f t="shared" si="3"/>
        <v>0</v>
      </c>
    </row>
    <row r="117" spans="1:9" x14ac:dyDescent="0.25">
      <c r="A117" t="s">
        <v>36</v>
      </c>
      <c r="B117">
        <f t="shared" si="0"/>
        <v>0</v>
      </c>
      <c r="C117">
        <f>IFERROR(VLOOKUP(A117,Lookups_References!$A$3:$B$200,2,FALSE),"")</f>
        <v>0.65</v>
      </c>
      <c r="D117">
        <v>4380</v>
      </c>
      <c r="E117">
        <v>0.8</v>
      </c>
      <c r="F117">
        <v>1</v>
      </c>
      <c r="G117">
        <f t="shared" si="1"/>
        <v>0</v>
      </c>
      <c r="H117" s="7">
        <f t="shared" si="2"/>
        <v>0</v>
      </c>
      <c r="I117" s="9">
        <f t="shared" si="3"/>
        <v>0</v>
      </c>
    </row>
    <row r="118" spans="1:9" x14ac:dyDescent="0.25">
      <c r="A118" t="s">
        <v>37</v>
      </c>
      <c r="B118">
        <f t="shared" si="0"/>
        <v>0</v>
      </c>
      <c r="C118">
        <f>IFERROR(VLOOKUP(A118,Lookups_References!$A$3:$B$200,2,FALSE),"")</f>
        <v>0.45</v>
      </c>
      <c r="D118">
        <v>3000</v>
      </c>
      <c r="E118">
        <v>0.8</v>
      </c>
      <c r="F118">
        <v>1</v>
      </c>
      <c r="G118">
        <f t="shared" si="1"/>
        <v>0</v>
      </c>
      <c r="H118" s="7">
        <f t="shared" si="2"/>
        <v>0</v>
      </c>
      <c r="I118" s="9">
        <f t="shared" si="3"/>
        <v>0</v>
      </c>
    </row>
    <row r="119" spans="1:9" x14ac:dyDescent="0.25">
      <c r="A119" t="s">
        <v>38</v>
      </c>
      <c r="B119">
        <f t="shared" si="0"/>
        <v>0</v>
      </c>
      <c r="C119">
        <f>IFERROR(VLOOKUP(A119,Lookups_References!$A$3:$B$200,2,FALSE),"")</f>
        <v>0.4</v>
      </c>
      <c r="D119">
        <v>3000</v>
      </c>
      <c r="E119">
        <v>0.8</v>
      </c>
      <c r="F119">
        <v>1</v>
      </c>
      <c r="G119">
        <f t="shared" si="1"/>
        <v>0</v>
      </c>
      <c r="H119" s="7">
        <f t="shared" si="2"/>
        <v>0</v>
      </c>
      <c r="I119" s="9">
        <f t="shared" si="3"/>
        <v>0</v>
      </c>
    </row>
    <row r="120" spans="1:9" x14ac:dyDescent="0.25">
      <c r="A120" t="s">
        <v>39</v>
      </c>
      <c r="B120">
        <f t="shared" si="0"/>
        <v>0</v>
      </c>
      <c r="C120">
        <f>IFERROR(VLOOKUP(A120,Lookups_References!$A$3:$B$200,2,FALSE),"")</f>
        <v>0.4</v>
      </c>
      <c r="D120">
        <v>3000</v>
      </c>
      <c r="E120">
        <v>0.8</v>
      </c>
      <c r="F120">
        <v>1</v>
      </c>
      <c r="G120">
        <f t="shared" si="1"/>
        <v>0</v>
      </c>
      <c r="H120" s="7">
        <f t="shared" si="2"/>
        <v>0</v>
      </c>
      <c r="I120" s="9">
        <f t="shared" si="3"/>
        <v>0</v>
      </c>
    </row>
    <row r="121" spans="1:9" x14ac:dyDescent="0.25">
      <c r="A121" t="s">
        <v>40</v>
      </c>
      <c r="B121">
        <f t="shared" si="0"/>
        <v>0</v>
      </c>
      <c r="C121">
        <f>IFERROR(VLOOKUP(A121,Lookups_References!$A$3:$B$200,2,FALSE),"")</f>
        <v>0.95</v>
      </c>
      <c r="D121">
        <v>3500</v>
      </c>
      <c r="E121">
        <v>0.8</v>
      </c>
      <c r="F121">
        <v>1</v>
      </c>
      <c r="G121">
        <f t="shared" si="1"/>
        <v>0</v>
      </c>
      <c r="H121" s="7">
        <f t="shared" si="2"/>
        <v>0</v>
      </c>
      <c r="I121" s="9">
        <f t="shared" si="3"/>
        <v>0</v>
      </c>
    </row>
    <row r="122" spans="1:9" x14ac:dyDescent="0.25">
      <c r="A122" t="s">
        <v>41</v>
      </c>
      <c r="B122">
        <f t="shared" si="0"/>
        <v>0</v>
      </c>
      <c r="C122">
        <f>IFERROR(VLOOKUP(A122,Lookups_References!$A$3:$B$200,2,FALSE),"")</f>
        <v>0.55000000000000004</v>
      </c>
      <c r="D122">
        <v>3500</v>
      </c>
      <c r="E122">
        <v>0.8</v>
      </c>
      <c r="F122">
        <v>1</v>
      </c>
      <c r="G122">
        <f t="shared" si="1"/>
        <v>0</v>
      </c>
      <c r="H122" s="7">
        <f t="shared" si="2"/>
        <v>0</v>
      </c>
      <c r="I122" s="9">
        <f t="shared" si="3"/>
        <v>0</v>
      </c>
    </row>
    <row r="123" spans="1:9" x14ac:dyDescent="0.25">
      <c r="A123" t="s">
        <v>42</v>
      </c>
      <c r="B123">
        <f t="shared" si="0"/>
        <v>0</v>
      </c>
      <c r="C123">
        <f>IFERROR(VLOOKUP(A123,Lookups_References!$A$3:$B$200,2,FALSE),"")</f>
        <v>0.3</v>
      </c>
      <c r="D123">
        <v>3000</v>
      </c>
      <c r="E123">
        <v>0.8</v>
      </c>
      <c r="F123">
        <v>1</v>
      </c>
      <c r="G123">
        <f t="shared" si="1"/>
        <v>0</v>
      </c>
      <c r="H123" s="7">
        <f t="shared" si="2"/>
        <v>0</v>
      </c>
      <c r="I123" s="9">
        <f t="shared" si="3"/>
        <v>0</v>
      </c>
    </row>
    <row r="124" spans="1:9" x14ac:dyDescent="0.25">
      <c r="A124" t="s">
        <v>43</v>
      </c>
      <c r="B124">
        <f t="shared" si="0"/>
        <v>0</v>
      </c>
      <c r="C124">
        <f>IFERROR(VLOOKUP(A124,Lookups_References!$A$3:$B$200,2,FALSE),"")</f>
        <v>0</v>
      </c>
      <c r="D124">
        <v>3000</v>
      </c>
      <c r="E124">
        <v>0.8</v>
      </c>
      <c r="F124">
        <v>1</v>
      </c>
      <c r="G124">
        <f t="shared" si="1"/>
        <v>0</v>
      </c>
      <c r="H124" s="7">
        <f t="shared" si="2"/>
        <v>0</v>
      </c>
      <c r="I124" s="9">
        <f t="shared" si="3"/>
        <v>0</v>
      </c>
    </row>
    <row r="125" spans="1:9" x14ac:dyDescent="0.25">
      <c r="A125" t="s">
        <v>44</v>
      </c>
      <c r="B125">
        <f t="shared" si="0"/>
        <v>0</v>
      </c>
      <c r="C125" t="str">
        <f>IFERROR(VLOOKUP(A125,Lookups_References!$A$3:$B$200,2,FALSE),"")</f>
        <v>Class (kW range)</v>
      </c>
      <c r="D125">
        <v>3000</v>
      </c>
      <c r="E125">
        <v>0.8</v>
      </c>
      <c r="F125">
        <v>1</v>
      </c>
      <c r="G125">
        <f t="shared" ref="G125:G135" si="4">IFERROR(B125*C125/1000,0)</f>
        <v>0</v>
      </c>
      <c r="H125" s="7">
        <f t="shared" si="2"/>
        <v>0</v>
      </c>
      <c r="I125" s="9">
        <f t="shared" si="3"/>
        <v>0</v>
      </c>
    </row>
    <row r="126" spans="1:9" x14ac:dyDescent="0.25">
      <c r="A126" t="s">
        <v>45</v>
      </c>
      <c r="B126">
        <f t="shared" si="0"/>
        <v>0</v>
      </c>
      <c r="C126" t="str">
        <f>IFERROR(VLOOKUP(A126,Lookups_References!$A$3:$B$200,2,FALSE),"")</f>
        <v>Small (≤20 kW)</v>
      </c>
      <c r="D126">
        <v>3000</v>
      </c>
      <c r="E126">
        <v>0.8</v>
      </c>
      <c r="F126">
        <v>1</v>
      </c>
      <c r="G126">
        <f t="shared" si="4"/>
        <v>0</v>
      </c>
      <c r="H126" s="7">
        <f t="shared" si="2"/>
        <v>0</v>
      </c>
      <c r="I126" s="9">
        <f t="shared" si="3"/>
        <v>0</v>
      </c>
    </row>
    <row r="127" spans="1:9" x14ac:dyDescent="0.25">
      <c r="A127" t="s">
        <v>45</v>
      </c>
      <c r="B127">
        <f t="shared" si="0"/>
        <v>0</v>
      </c>
      <c r="C127" t="str">
        <f>IFERROR(VLOOKUP(A127,Lookups_References!$A$3:$B$200,2,FALSE),"")</f>
        <v>Small (≤20 kW)</v>
      </c>
      <c r="D127">
        <v>3000</v>
      </c>
      <c r="E127">
        <v>0.8</v>
      </c>
      <c r="F127">
        <v>1</v>
      </c>
      <c r="G127">
        <f t="shared" si="4"/>
        <v>0</v>
      </c>
      <c r="H127" s="7">
        <f t="shared" si="2"/>
        <v>0</v>
      </c>
      <c r="I127" s="9">
        <f t="shared" si="3"/>
        <v>0</v>
      </c>
    </row>
    <row r="128" spans="1:9" x14ac:dyDescent="0.25">
      <c r="A128" t="s">
        <v>45</v>
      </c>
      <c r="B128">
        <f t="shared" si="0"/>
        <v>0</v>
      </c>
      <c r="C128" t="str">
        <f>IFERROR(VLOOKUP(A128,Lookups_References!$A$3:$B$200,2,FALSE),"")</f>
        <v>Small (≤20 kW)</v>
      </c>
      <c r="D128">
        <v>3000</v>
      </c>
      <c r="E128">
        <v>0.8</v>
      </c>
      <c r="F128">
        <v>1</v>
      </c>
      <c r="G128">
        <f t="shared" si="4"/>
        <v>0</v>
      </c>
      <c r="H128" s="7">
        <f t="shared" si="2"/>
        <v>0</v>
      </c>
      <c r="I128" s="9">
        <f t="shared" si="3"/>
        <v>0</v>
      </c>
    </row>
    <row r="129" spans="1:9" x14ac:dyDescent="0.25">
      <c r="A129" t="s">
        <v>46</v>
      </c>
      <c r="B129">
        <f t="shared" si="0"/>
        <v>0</v>
      </c>
      <c r="C129" t="str">
        <f>IFERROR(VLOOKUP(A129,Lookups_References!$A$3:$B$200,2,FALSE),"")</f>
        <v>Small (≤20 kW)</v>
      </c>
      <c r="D129">
        <v>3000</v>
      </c>
      <c r="E129">
        <v>0.8</v>
      </c>
      <c r="F129">
        <v>1</v>
      </c>
      <c r="G129">
        <f t="shared" si="4"/>
        <v>0</v>
      </c>
      <c r="H129" s="7">
        <f t="shared" si="2"/>
        <v>0</v>
      </c>
      <c r="I129" s="9">
        <f t="shared" si="3"/>
        <v>0</v>
      </c>
    </row>
    <row r="130" spans="1:9" x14ac:dyDescent="0.25">
      <c r="A130" t="s">
        <v>46</v>
      </c>
      <c r="B130">
        <f t="shared" si="0"/>
        <v>0</v>
      </c>
      <c r="C130" t="str">
        <f>IFERROR(VLOOKUP(A130,Lookups_References!$A$3:$B$200,2,FALSE),"")</f>
        <v>Small (≤20 kW)</v>
      </c>
      <c r="D130">
        <v>3000</v>
      </c>
      <c r="E130">
        <v>0.8</v>
      </c>
      <c r="F130">
        <v>1</v>
      </c>
      <c r="G130">
        <f t="shared" si="4"/>
        <v>0</v>
      </c>
      <c r="H130" s="7">
        <f t="shared" si="2"/>
        <v>0</v>
      </c>
      <c r="I130" s="9">
        <f t="shared" si="3"/>
        <v>0</v>
      </c>
    </row>
    <row r="131" spans="1:9" x14ac:dyDescent="0.25">
      <c r="A131" t="s">
        <v>46</v>
      </c>
      <c r="B131">
        <f t="shared" si="0"/>
        <v>0</v>
      </c>
      <c r="C131" t="str">
        <f>IFERROR(VLOOKUP(A131,Lookups_References!$A$3:$B$200,2,FALSE),"")</f>
        <v>Small (≤20 kW)</v>
      </c>
      <c r="D131">
        <v>3000</v>
      </c>
      <c r="E131">
        <v>0.8</v>
      </c>
      <c r="F131">
        <v>1</v>
      </c>
      <c r="G131">
        <f t="shared" si="4"/>
        <v>0</v>
      </c>
      <c r="H131" s="7">
        <f t="shared" si="2"/>
        <v>0</v>
      </c>
      <c r="I131" s="9">
        <f t="shared" si="3"/>
        <v>0</v>
      </c>
    </row>
    <row r="132" spans="1:9" x14ac:dyDescent="0.25">
      <c r="A132" t="s">
        <v>47</v>
      </c>
      <c r="B132">
        <f t="shared" si="0"/>
        <v>0</v>
      </c>
      <c r="C132" t="str">
        <f>IFERROR(VLOOKUP(A132,Lookups_References!$A$3:$B$200,2,FALSE),"")</f>
        <v>Small (≤20 kW)</v>
      </c>
      <c r="D132">
        <v>3000</v>
      </c>
      <c r="E132">
        <v>0.8</v>
      </c>
      <c r="F132">
        <v>1</v>
      </c>
      <c r="G132">
        <f t="shared" si="4"/>
        <v>0</v>
      </c>
      <c r="H132" s="7">
        <f t="shared" si="2"/>
        <v>0</v>
      </c>
      <c r="I132" s="9">
        <f t="shared" si="3"/>
        <v>0</v>
      </c>
    </row>
    <row r="133" spans="1:9" x14ac:dyDescent="0.25">
      <c r="A133" t="s">
        <v>47</v>
      </c>
      <c r="B133">
        <f t="shared" si="0"/>
        <v>0</v>
      </c>
      <c r="C133" t="str">
        <f>IFERROR(VLOOKUP(A133,Lookups_References!$A$3:$B$200,2,FALSE),"")</f>
        <v>Small (≤20 kW)</v>
      </c>
      <c r="D133">
        <v>3000</v>
      </c>
      <c r="E133">
        <v>0.8</v>
      </c>
      <c r="F133">
        <v>1</v>
      </c>
      <c r="G133">
        <f t="shared" si="4"/>
        <v>0</v>
      </c>
      <c r="H133" s="7">
        <f t="shared" si="2"/>
        <v>0</v>
      </c>
      <c r="I133" s="9">
        <f t="shared" si="3"/>
        <v>0</v>
      </c>
    </row>
    <row r="134" spans="1:9" x14ac:dyDescent="0.25">
      <c r="A134" t="s">
        <v>47</v>
      </c>
      <c r="B134">
        <f t="shared" si="0"/>
        <v>0</v>
      </c>
      <c r="C134" t="str">
        <f>IFERROR(VLOOKUP(A134,Lookups_References!$A$3:$B$200,2,FALSE),"")</f>
        <v>Small (≤20 kW)</v>
      </c>
      <c r="D134">
        <v>3000</v>
      </c>
      <c r="E134">
        <v>0.8</v>
      </c>
      <c r="F134">
        <v>1</v>
      </c>
      <c r="G134">
        <f t="shared" si="4"/>
        <v>0</v>
      </c>
      <c r="H134" s="7">
        <f t="shared" si="2"/>
        <v>0</v>
      </c>
      <c r="I134" s="9">
        <f t="shared" si="3"/>
        <v>0</v>
      </c>
    </row>
    <row r="135" spans="1:9" x14ac:dyDescent="0.25">
      <c r="A135" t="s">
        <v>48</v>
      </c>
      <c r="B135">
        <f t="shared" si="0"/>
        <v>0</v>
      </c>
      <c r="C135" t="str">
        <f>IFERROR(VLOOKUP(A135,Lookups_References!$A$3:$B$200,2,FALSE),"")</f>
        <v>Any</v>
      </c>
      <c r="D135">
        <v>3000</v>
      </c>
      <c r="E135">
        <v>0.8</v>
      </c>
      <c r="F135">
        <v>1</v>
      </c>
      <c r="G135">
        <f t="shared" si="4"/>
        <v>0</v>
      </c>
      <c r="H135" s="7">
        <f t="shared" si="2"/>
        <v>0</v>
      </c>
      <c r="I135" s="9">
        <f t="shared" si="3"/>
        <v>0</v>
      </c>
    </row>
    <row r="136" spans="1:9" x14ac:dyDescent="0.25">
      <c r="H136" s="8" t="s">
        <v>102</v>
      </c>
      <c r="I136" s="10" t="s">
        <v>103</v>
      </c>
    </row>
    <row r="137" spans="1:9" x14ac:dyDescent="0.25">
      <c r="H137" s="7">
        <f>SUM(H110:H135)</f>
        <v>46423.527494400005</v>
      </c>
      <c r="I137" s="9">
        <f>SUM(I110:I135)</f>
        <v>10213.176048768</v>
      </c>
    </row>
    <row r="139" spans="1:9" x14ac:dyDescent="0.25">
      <c r="A139" s="4" t="s">
        <v>104</v>
      </c>
    </row>
    <row r="140" spans="1:9" x14ac:dyDescent="0.25">
      <c r="A140" t="s">
        <v>51</v>
      </c>
      <c r="B140">
        <f>B42</f>
        <v>15</v>
      </c>
    </row>
    <row r="141" spans="1:9" x14ac:dyDescent="0.25">
      <c r="A141" t="s">
        <v>105</v>
      </c>
      <c r="B141">
        <v>8000</v>
      </c>
    </row>
    <row r="142" spans="1:9" x14ac:dyDescent="0.25">
      <c r="A142" t="s">
        <v>106</v>
      </c>
      <c r="B142">
        <f>B140*B141</f>
        <v>120000</v>
      </c>
    </row>
    <row r="143" spans="1:9" x14ac:dyDescent="0.25">
      <c r="A143" t="s">
        <v>107</v>
      </c>
      <c r="B143">
        <f>B142*$H$3</f>
        <v>26400</v>
      </c>
    </row>
    <row r="145" spans="1:2" x14ac:dyDescent="0.25">
      <c r="A145" s="4" t="s">
        <v>108</v>
      </c>
    </row>
    <row r="146" spans="1:2" x14ac:dyDescent="0.25">
      <c r="A146" t="s">
        <v>52</v>
      </c>
    </row>
    <row r="147" spans="1:2" x14ac:dyDescent="0.25">
      <c r="A147" t="s">
        <v>109</v>
      </c>
    </row>
    <row r="148" spans="1:2" x14ac:dyDescent="0.25">
      <c r="A148" t="s">
        <v>54</v>
      </c>
      <c r="B148">
        <f>B45</f>
        <v>26</v>
      </c>
    </row>
    <row r="149" spans="1:2" x14ac:dyDescent="0.25">
      <c r="A149" t="s">
        <v>110</v>
      </c>
      <c r="B149">
        <f>IF(B148&gt;0,B148,ROUND(B146*B147,0))</f>
        <v>26</v>
      </c>
    </row>
    <row r="150" spans="1:2" x14ac:dyDescent="0.25">
      <c r="A150" t="s">
        <v>111</v>
      </c>
      <c r="B150">
        <f>B46</f>
        <v>7.2</v>
      </c>
    </row>
    <row r="151" spans="1:2" x14ac:dyDescent="0.25">
      <c r="A151" t="s">
        <v>112</v>
      </c>
      <c r="B151">
        <f>B47</f>
        <v>6</v>
      </c>
    </row>
    <row r="152" spans="1:2" x14ac:dyDescent="0.25">
      <c r="A152" t="s">
        <v>113</v>
      </c>
      <c r="B152">
        <f>B150*B151*365</f>
        <v>15768.000000000002</v>
      </c>
    </row>
    <row r="153" spans="1:2" x14ac:dyDescent="0.25">
      <c r="A153" t="s">
        <v>114</v>
      </c>
      <c r="B153">
        <f>B149*B152</f>
        <v>409968.00000000006</v>
      </c>
    </row>
    <row r="154" spans="1:2" x14ac:dyDescent="0.25">
      <c r="A154" t="s">
        <v>115</v>
      </c>
      <c r="B154">
        <f>B153*$H$3</f>
        <v>90192.960000000006</v>
      </c>
    </row>
    <row r="155" spans="1:2" x14ac:dyDescent="0.25">
      <c r="A155" s="4" t="s">
        <v>300</v>
      </c>
    </row>
    <row r="156" spans="1:2" x14ac:dyDescent="0.25">
      <c r="A156" t="s">
        <v>52</v>
      </c>
    </row>
    <row r="157" spans="1:2" x14ac:dyDescent="0.25">
      <c r="A157" t="s">
        <v>109</v>
      </c>
    </row>
    <row r="158" spans="1:2" x14ac:dyDescent="0.25">
      <c r="A158" t="s">
        <v>54</v>
      </c>
      <c r="B158">
        <v>126</v>
      </c>
    </row>
    <row r="159" spans="1:2" x14ac:dyDescent="0.25">
      <c r="A159" t="s">
        <v>110</v>
      </c>
      <c r="B159">
        <f>IF(B158&gt;0,B158,ROUND(B156*B157,0))</f>
        <v>126</v>
      </c>
    </row>
    <row r="160" spans="1:2" x14ac:dyDescent="0.25">
      <c r="A160" t="s">
        <v>111</v>
      </c>
      <c r="B160">
        <v>3.5</v>
      </c>
    </row>
    <row r="161" spans="1:8" x14ac:dyDescent="0.25">
      <c r="A161" t="s">
        <v>112</v>
      </c>
      <c r="B161">
        <v>6</v>
      </c>
    </row>
    <row r="162" spans="1:8" x14ac:dyDescent="0.25">
      <c r="A162" t="s">
        <v>113</v>
      </c>
      <c r="B162">
        <f>B160*B161*365</f>
        <v>7665</v>
      </c>
    </row>
    <row r="163" spans="1:8" x14ac:dyDescent="0.25">
      <c r="A163" t="s">
        <v>114</v>
      </c>
      <c r="B163">
        <f>B159*B162</f>
        <v>965790</v>
      </c>
    </row>
    <row r="164" spans="1:8" x14ac:dyDescent="0.25">
      <c r="A164" t="s">
        <v>115</v>
      </c>
      <c r="B164">
        <f>B163*$H$3</f>
        <v>212473.8</v>
      </c>
    </row>
    <row r="166" spans="1:8" x14ac:dyDescent="0.25">
      <c r="A166" s="4" t="s">
        <v>116</v>
      </c>
    </row>
    <row r="167" spans="1:8" x14ac:dyDescent="0.25">
      <c r="A167" s="6" t="s">
        <v>59</v>
      </c>
      <c r="B167" s="6" t="s">
        <v>60</v>
      </c>
      <c r="C167" s="6" t="s">
        <v>61</v>
      </c>
      <c r="D167" s="6" t="s">
        <v>62</v>
      </c>
      <c r="E167" s="6" t="s">
        <v>63</v>
      </c>
      <c r="F167" s="6" t="s">
        <v>117</v>
      </c>
      <c r="G167" s="6" t="s">
        <v>100</v>
      </c>
      <c r="H167" s="6" t="s">
        <v>101</v>
      </c>
    </row>
    <row r="168" spans="1:8" x14ac:dyDescent="0.25">
      <c r="A168" t="s">
        <v>64</v>
      </c>
      <c r="B168">
        <f t="shared" ref="B168:B174" si="5">IFERROR(VLOOKUP(A168,$A$56:$B$62,2,FALSE),0)</f>
        <v>5898</v>
      </c>
      <c r="C168">
        <f t="shared" ref="C168:C174" si="6">IFERROR(VLOOKUP(A168,$A$56:$C$62,3,FALSE),0)</f>
        <v>11</v>
      </c>
      <c r="D168">
        <f t="shared" ref="D168:D174" si="7">IFERROR(VLOOKUP(A168,$A$56:$D$62,4,FALSE),0)</f>
        <v>365</v>
      </c>
      <c r="E168">
        <f t="shared" ref="E168:E174" si="8">IFERROR(VLOOKUP(A168,$A$56:$E$62,5,FALSE),0)</f>
        <v>0.6</v>
      </c>
      <c r="F168">
        <f t="shared" ref="F168:F174" si="9">B168/1000</f>
        <v>5.8979999999999997</v>
      </c>
      <c r="G168">
        <f t="shared" ref="G168:G174" si="10">F168*C168*D168*E168</f>
        <v>14208.282000000001</v>
      </c>
      <c r="H168">
        <f t="shared" ref="H168:H174" si="11">G168*$H$3</f>
        <v>3125.8220400000005</v>
      </c>
    </row>
    <row r="169" spans="1:8" x14ac:dyDescent="0.25">
      <c r="A169" t="s">
        <v>65</v>
      </c>
      <c r="B169">
        <f t="shared" si="5"/>
        <v>2502</v>
      </c>
      <c r="C169">
        <f t="shared" si="6"/>
        <v>11</v>
      </c>
      <c r="D169">
        <f t="shared" si="7"/>
        <v>365</v>
      </c>
      <c r="E169">
        <f t="shared" si="8"/>
        <v>0.6</v>
      </c>
      <c r="F169">
        <f t="shared" si="9"/>
        <v>2.5019999999999998</v>
      </c>
      <c r="G169">
        <f t="shared" si="10"/>
        <v>6027.3179999999993</v>
      </c>
      <c r="H169">
        <f t="shared" si="11"/>
        <v>1326.0099599999999</v>
      </c>
    </row>
    <row r="170" spans="1:8" x14ac:dyDescent="0.25">
      <c r="A170" t="s">
        <v>66</v>
      </c>
      <c r="B170">
        <f t="shared" si="5"/>
        <v>0</v>
      </c>
      <c r="C170">
        <f t="shared" si="6"/>
        <v>11</v>
      </c>
      <c r="D170">
        <f t="shared" si="7"/>
        <v>365</v>
      </c>
      <c r="E170">
        <f t="shared" si="8"/>
        <v>0.6</v>
      </c>
      <c r="F170">
        <f t="shared" si="9"/>
        <v>0</v>
      </c>
      <c r="G170">
        <f t="shared" si="10"/>
        <v>0</v>
      </c>
      <c r="H170">
        <f t="shared" si="11"/>
        <v>0</v>
      </c>
    </row>
    <row r="171" spans="1:8" x14ac:dyDescent="0.25">
      <c r="A171" t="s">
        <v>67</v>
      </c>
      <c r="B171">
        <f t="shared" si="5"/>
        <v>2340</v>
      </c>
      <c r="C171">
        <f t="shared" si="6"/>
        <v>6</v>
      </c>
      <c r="D171">
        <f t="shared" si="7"/>
        <v>365</v>
      </c>
      <c r="E171">
        <f t="shared" si="8"/>
        <v>1</v>
      </c>
      <c r="F171">
        <f t="shared" si="9"/>
        <v>2.34</v>
      </c>
      <c r="G171">
        <f t="shared" si="10"/>
        <v>5124.5999999999995</v>
      </c>
      <c r="H171">
        <f t="shared" si="11"/>
        <v>1127.4119999999998</v>
      </c>
    </row>
    <row r="172" spans="1:8" x14ac:dyDescent="0.25">
      <c r="A172" t="s">
        <v>68</v>
      </c>
      <c r="B172">
        <f t="shared" si="5"/>
        <v>0</v>
      </c>
      <c r="C172">
        <f t="shared" si="6"/>
        <v>11</v>
      </c>
      <c r="D172">
        <f t="shared" si="7"/>
        <v>365</v>
      </c>
      <c r="E172">
        <f t="shared" si="8"/>
        <v>1</v>
      </c>
      <c r="F172">
        <f t="shared" si="9"/>
        <v>0</v>
      </c>
      <c r="G172">
        <f t="shared" si="10"/>
        <v>0</v>
      </c>
      <c r="H172">
        <f t="shared" si="11"/>
        <v>0</v>
      </c>
    </row>
    <row r="173" spans="1:8" x14ac:dyDescent="0.25">
      <c r="A173" t="s">
        <v>69</v>
      </c>
      <c r="B173">
        <f t="shared" si="5"/>
        <v>263.5</v>
      </c>
      <c r="C173">
        <f t="shared" si="6"/>
        <v>6</v>
      </c>
      <c r="D173">
        <f t="shared" si="7"/>
        <v>365</v>
      </c>
      <c r="E173">
        <f t="shared" si="8"/>
        <v>1</v>
      </c>
      <c r="F173">
        <f t="shared" si="9"/>
        <v>0.26350000000000001</v>
      </c>
      <c r="G173">
        <f t="shared" si="10"/>
        <v>577.06499999999994</v>
      </c>
      <c r="H173">
        <f t="shared" si="11"/>
        <v>126.95429999999999</v>
      </c>
    </row>
    <row r="174" spans="1:8" x14ac:dyDescent="0.25">
      <c r="A174" t="s">
        <v>70</v>
      </c>
      <c r="B174">
        <f t="shared" si="5"/>
        <v>0</v>
      </c>
      <c r="C174">
        <f t="shared" si="6"/>
        <v>6</v>
      </c>
      <c r="D174">
        <f t="shared" si="7"/>
        <v>365</v>
      </c>
      <c r="E174">
        <f t="shared" si="8"/>
        <v>1</v>
      </c>
      <c r="F174">
        <f t="shared" si="9"/>
        <v>0</v>
      </c>
      <c r="G174">
        <f t="shared" si="10"/>
        <v>0</v>
      </c>
      <c r="H174">
        <f t="shared" si="11"/>
        <v>0</v>
      </c>
    </row>
    <row r="175" spans="1:8" x14ac:dyDescent="0.25">
      <c r="G175" s="4" t="s">
        <v>118</v>
      </c>
      <c r="H175" s="4" t="s">
        <v>119</v>
      </c>
    </row>
    <row r="176" spans="1:8" x14ac:dyDescent="0.25">
      <c r="G176">
        <f>SUM(G168:G174)</f>
        <v>25937.264999999996</v>
      </c>
      <c r="H176">
        <f>SUM(H168:H174)</f>
        <v>5706.1983000000009</v>
      </c>
    </row>
    <row r="178" spans="1:2" x14ac:dyDescent="0.25">
      <c r="A178" s="4" t="s">
        <v>42</v>
      </c>
    </row>
    <row r="179" spans="1:2" x14ac:dyDescent="0.25">
      <c r="A179" t="s">
        <v>72</v>
      </c>
      <c r="B179">
        <f>B65</f>
        <v>0</v>
      </c>
    </row>
    <row r="180" spans="1:2" x14ac:dyDescent="0.25">
      <c r="A180" t="s">
        <v>120</v>
      </c>
      <c r="B180">
        <f>IFERROR(VLOOKUP("Parking Garage",Lookups_References!$A$3:$B$200,2,FALSE),0.3)</f>
        <v>0.3</v>
      </c>
    </row>
    <row r="181" spans="1:2" x14ac:dyDescent="0.25">
      <c r="A181" t="s">
        <v>61</v>
      </c>
      <c r="B181">
        <f>B68</f>
        <v>12</v>
      </c>
    </row>
    <row r="182" spans="1:2" x14ac:dyDescent="0.25">
      <c r="A182" t="s">
        <v>62</v>
      </c>
      <c r="B182">
        <f>B69</f>
        <v>365</v>
      </c>
    </row>
    <row r="183" spans="1:2" x14ac:dyDescent="0.25">
      <c r="A183" t="s">
        <v>63</v>
      </c>
      <c r="B183">
        <f>IF(B66="Yes",0.6,0.3)</f>
        <v>0.3</v>
      </c>
    </row>
    <row r="184" spans="1:2" x14ac:dyDescent="0.25">
      <c r="A184" t="s">
        <v>121</v>
      </c>
      <c r="B184">
        <f>B179*B180/1000</f>
        <v>0</v>
      </c>
    </row>
    <row r="185" spans="1:2" x14ac:dyDescent="0.25">
      <c r="A185" t="s">
        <v>122</v>
      </c>
      <c r="B185">
        <f>B184*B181*B182*B183</f>
        <v>0</v>
      </c>
    </row>
    <row r="186" spans="1:2" x14ac:dyDescent="0.25">
      <c r="A186" t="s">
        <v>123</v>
      </c>
      <c r="B186">
        <f>B185*$H$3</f>
        <v>0</v>
      </c>
    </row>
    <row r="187" spans="1:2" x14ac:dyDescent="0.25">
      <c r="A187" t="s">
        <v>73</v>
      </c>
      <c r="B187" t="str">
        <f>B66</f>
        <v>No</v>
      </c>
    </row>
    <row r="188" spans="1:2" x14ac:dyDescent="0.25">
      <c r="A188" t="s">
        <v>74</v>
      </c>
      <c r="B188">
        <f>B67</f>
        <v>0.1</v>
      </c>
    </row>
    <row r="189" spans="1:2" x14ac:dyDescent="0.25">
      <c r="A189" t="s">
        <v>75</v>
      </c>
      <c r="B189">
        <f>B68</f>
        <v>12</v>
      </c>
    </row>
    <row r="190" spans="1:2" x14ac:dyDescent="0.25">
      <c r="A190" t="s">
        <v>76</v>
      </c>
      <c r="B190">
        <f>B69</f>
        <v>365</v>
      </c>
    </row>
    <row r="191" spans="1:2" x14ac:dyDescent="0.25">
      <c r="A191" t="s">
        <v>124</v>
      </c>
      <c r="B191">
        <f>IF(B187="Yes", B179*B188/1000, 0)</f>
        <v>0</v>
      </c>
    </row>
    <row r="192" spans="1:2" x14ac:dyDescent="0.25">
      <c r="A192" t="s">
        <v>125</v>
      </c>
      <c r="B192">
        <f>B191*B189*B190</f>
        <v>0</v>
      </c>
    </row>
    <row r="193" spans="1:2" x14ac:dyDescent="0.25">
      <c r="A193" t="s">
        <v>126</v>
      </c>
      <c r="B193">
        <f>B192*$H$3</f>
        <v>0</v>
      </c>
    </row>
    <row r="196" spans="1:2" x14ac:dyDescent="0.25">
      <c r="A196" s="4" t="s">
        <v>127</v>
      </c>
    </row>
    <row r="197" spans="1:2" x14ac:dyDescent="0.25">
      <c r="A197" t="s">
        <v>57</v>
      </c>
      <c r="B197">
        <f>B52</f>
        <v>2</v>
      </c>
    </row>
    <row r="198" spans="1:2" x14ac:dyDescent="0.25">
      <c r="A198" t="s">
        <v>80</v>
      </c>
      <c r="B198">
        <f>B74</f>
        <v>3</v>
      </c>
    </row>
    <row r="199" spans="1:2" x14ac:dyDescent="0.25">
      <c r="A199" t="s">
        <v>86</v>
      </c>
      <c r="B199">
        <f>INDEX(Lookups_References!$B$40:$B$47, MATCH("Pump Efficiency (0–1)", Lookups_References!$A$40:$A$47, 0))</f>
        <v>0.7</v>
      </c>
    </row>
    <row r="200" spans="1:2" x14ac:dyDescent="0.25">
      <c r="A200" t="s">
        <v>87</v>
      </c>
      <c r="B200">
        <f>INDEX(Lookups_References!$B$40:$B$47, MATCH("Pump Hours/Day", Lookups_References!$A$40:$A$47, 0))</f>
        <v>12</v>
      </c>
    </row>
    <row r="201" spans="1:2" x14ac:dyDescent="0.25">
      <c r="A201" t="s">
        <v>88</v>
      </c>
      <c r="B201">
        <f>INDEX(Lookups_References!$B$40:$B$47, MATCH("Pump Days/Year", Lookups_References!$A$40:$A$47, 0))</f>
        <v>365</v>
      </c>
    </row>
    <row r="202" spans="1:2" x14ac:dyDescent="0.25">
      <c r="A202" t="s">
        <v>128</v>
      </c>
      <c r="B202">
        <f>B198*0.746/IF(B199=0,0.0001,B199)</f>
        <v>3.1971428571428575</v>
      </c>
    </row>
    <row r="203" spans="1:2" x14ac:dyDescent="0.25">
      <c r="A203" t="s">
        <v>129</v>
      </c>
      <c r="B203">
        <f>B202*B200*B201</f>
        <v>14003.485714285716</v>
      </c>
    </row>
    <row r="204" spans="1:2" x14ac:dyDescent="0.25">
      <c r="A204" t="s">
        <v>130</v>
      </c>
      <c r="B204">
        <f>B197*B203</f>
        <v>28006.971428571433</v>
      </c>
    </row>
    <row r="205" spans="1:2" x14ac:dyDescent="0.25">
      <c r="A205" t="s">
        <v>131</v>
      </c>
      <c r="B205">
        <f>B204*$H$3</f>
        <v>6161.5337142857152</v>
      </c>
    </row>
    <row r="207" spans="1:2" x14ac:dyDescent="0.25">
      <c r="A207" t="s">
        <v>78</v>
      </c>
      <c r="B207" t="str">
        <f>B72</f>
        <v>Heat Pump Pool Heater</v>
      </c>
    </row>
    <row r="208" spans="1:2" x14ac:dyDescent="0.25">
      <c r="A208" t="s">
        <v>79</v>
      </c>
      <c r="B208">
        <f>B73</f>
        <v>1749</v>
      </c>
    </row>
    <row r="209" spans="1:2" x14ac:dyDescent="0.25">
      <c r="A209" t="s">
        <v>132</v>
      </c>
      <c r="B209">
        <f>INDEX(Lookups_References!$B$40:$B$47, MATCH("Heater Load Factor (W/ft²)", Lookups_References!$A$40:$A$47, 0))</f>
        <v>10</v>
      </c>
    </row>
    <row r="210" spans="1:2" x14ac:dyDescent="0.25">
      <c r="A210" t="s">
        <v>133</v>
      </c>
      <c r="B210">
        <f>INDEX(Lookups_References!$B$40:$B$47, MATCH("Heater Hours/Day", Lookups_References!$A$40:$A$47, 0))</f>
        <v>8</v>
      </c>
    </row>
    <row r="211" spans="1:2" x14ac:dyDescent="0.25">
      <c r="A211" t="s">
        <v>134</v>
      </c>
      <c r="B211">
        <f>INDEX(Lookups_References!$B$40:$B$47, MATCH("Heater Days/Year", Lookups_References!$A$40:$A$47, 0))</f>
        <v>180</v>
      </c>
    </row>
    <row r="212" spans="1:2" x14ac:dyDescent="0.25">
      <c r="A212" t="s">
        <v>135</v>
      </c>
      <c r="B212">
        <f>INDEX(Lookups_References!$B$40:$B$47, MATCH("Boiler Efficiency (0–1)", Lookups_References!$A$40:$A$47, 0))</f>
        <v>0.85</v>
      </c>
    </row>
    <row r="213" spans="1:2" x14ac:dyDescent="0.25">
      <c r="A213" t="s">
        <v>136</v>
      </c>
      <c r="B213">
        <f>INDEX(Lookups_References!$B$40:$B$47, MATCH("Heat Pump COP", Lookups_References!$A$40:$A$47, 0))</f>
        <v>4</v>
      </c>
    </row>
    <row r="214" spans="1:2" x14ac:dyDescent="0.25">
      <c r="A214" t="s">
        <v>85</v>
      </c>
      <c r="B214">
        <f>B79</f>
        <v>4</v>
      </c>
    </row>
    <row r="215" spans="1:2" x14ac:dyDescent="0.25">
      <c r="A215" t="s">
        <v>137</v>
      </c>
      <c r="B215">
        <f>B208*B209/1000</f>
        <v>17.489999999999998</v>
      </c>
    </row>
    <row r="216" spans="1:2" x14ac:dyDescent="0.25">
      <c r="A216" t="s">
        <v>138</v>
      </c>
      <c r="B216">
        <f>B215*3.412</f>
        <v>59.675879999999992</v>
      </c>
    </row>
    <row r="217" spans="1:2" x14ac:dyDescent="0.25">
      <c r="A217" t="s">
        <v>138</v>
      </c>
      <c r="B217">
        <f>IF(B207="Gas boiler", B208, IF(B209="kW", B208*3.412, 0))</f>
        <v>0</v>
      </c>
    </row>
    <row r="218" spans="1:2" x14ac:dyDescent="0.25">
      <c r="A218" t="s">
        <v>139</v>
      </c>
      <c r="B218">
        <f>IF(B207="Electric", B215/IF(B212=0,0.0001,B212)*B210*B211, IF(B207="Heat Pump Pool Heater", B215/IF(B213=0,0.0001,B213)*B210*B211, 0))</f>
        <v>6296.4</v>
      </c>
    </row>
    <row r="219" spans="1:2" x14ac:dyDescent="0.25">
      <c r="A219" t="s">
        <v>140</v>
      </c>
      <c r="B219">
        <f>IF(B207="Gas boiler", B216/IF(B212=0,0.0001,B212)*B210*B211/100, 0)</f>
        <v>0</v>
      </c>
    </row>
    <row r="220" spans="1:2" x14ac:dyDescent="0.25">
      <c r="A220" t="s">
        <v>140</v>
      </c>
      <c r="B220">
        <f>IF(B207="Gas boiler", B217/IF(B213=0,0.0001,B213)*B211*B212*B210/100, 0)</f>
        <v>0</v>
      </c>
    </row>
    <row r="222" spans="1:2" x14ac:dyDescent="0.25">
      <c r="A222" t="s">
        <v>141</v>
      </c>
      <c r="B222">
        <f>B197*B218</f>
        <v>12592.8</v>
      </c>
    </row>
    <row r="223" spans="1:2" x14ac:dyDescent="0.25">
      <c r="A223" t="s">
        <v>142</v>
      </c>
      <c r="B223">
        <f>B197*B219</f>
        <v>0</v>
      </c>
    </row>
    <row r="224" spans="1:2" x14ac:dyDescent="0.25">
      <c r="A224" t="s">
        <v>143</v>
      </c>
      <c r="B224">
        <f>B222*$H$3</f>
        <v>2770.4159999999997</v>
      </c>
    </row>
    <row r="225" spans="1:2" x14ac:dyDescent="0.25">
      <c r="A225" t="s">
        <v>144</v>
      </c>
      <c r="B225">
        <f>B223*$K$3</f>
        <v>0</v>
      </c>
    </row>
    <row r="228" spans="1:2" ht="18.95" customHeight="1" x14ac:dyDescent="0.3">
      <c r="A228" s="1" t="s">
        <v>145</v>
      </c>
    </row>
    <row r="229" spans="1:2" x14ac:dyDescent="0.25">
      <c r="A229" t="s">
        <v>146</v>
      </c>
      <c r="B229">
        <f>SUMIF($C$12:$C$39,"Yes",$B$12:$B$39)</f>
        <v>0</v>
      </c>
    </row>
    <row r="230" spans="1:2" x14ac:dyDescent="0.25">
      <c r="A230" t="s">
        <v>147</v>
      </c>
      <c r="B230">
        <f>SUMIF($D$12:$D$39,"Yes",$B$12:$B$39)</f>
        <v>36802.01</v>
      </c>
    </row>
    <row r="232" spans="1:2" x14ac:dyDescent="0.25">
      <c r="A232" t="s">
        <v>148</v>
      </c>
      <c r="B232">
        <f>B229*B100</f>
        <v>0</v>
      </c>
    </row>
    <row r="233" spans="1:2" x14ac:dyDescent="0.25">
      <c r="A233" t="s">
        <v>149</v>
      </c>
      <c r="B233">
        <v>0</v>
      </c>
    </row>
    <row r="234" spans="1:2" x14ac:dyDescent="0.25">
      <c r="A234" t="s">
        <v>150</v>
      </c>
      <c r="B234">
        <f>B232*$H$3</f>
        <v>0</v>
      </c>
    </row>
    <row r="235" spans="1:2" x14ac:dyDescent="0.25">
      <c r="A235" t="s">
        <v>151</v>
      </c>
      <c r="B235">
        <v>0</v>
      </c>
    </row>
    <row r="237" spans="1:2" x14ac:dyDescent="0.25">
      <c r="A237" t="s">
        <v>152</v>
      </c>
      <c r="B237">
        <f>B229*B101</f>
        <v>0</v>
      </c>
    </row>
    <row r="238" spans="1:2" x14ac:dyDescent="0.25">
      <c r="A238" t="s">
        <v>153</v>
      </c>
      <c r="B238">
        <f>B237*$H$3</f>
        <v>0</v>
      </c>
    </row>
    <row r="240" spans="1:2" x14ac:dyDescent="0.25">
      <c r="A240" t="s">
        <v>154</v>
      </c>
      <c r="B240">
        <f>(B230-B179)*B102*(B103*B104)/1000</f>
        <v>96715.682280000008</v>
      </c>
    </row>
    <row r="241" spans="1:2" x14ac:dyDescent="0.25">
      <c r="A241" t="s">
        <v>126</v>
      </c>
      <c r="B241">
        <f>B240*$H$3</f>
        <v>21277.450101600003</v>
      </c>
    </row>
    <row r="244" spans="1:2" ht="18.95" customHeight="1" x14ac:dyDescent="0.3">
      <c r="A244" s="1" t="s">
        <v>155</v>
      </c>
    </row>
    <row r="245" spans="1:2" x14ac:dyDescent="0.25">
      <c r="A245" t="s">
        <v>156</v>
      </c>
      <c r="B245">
        <f>H137</f>
        <v>46423.527494400005</v>
      </c>
    </row>
    <row r="246" spans="1:2" x14ac:dyDescent="0.25">
      <c r="A246" t="s">
        <v>157</v>
      </c>
      <c r="B246">
        <f>I137</f>
        <v>10213.176048768</v>
      </c>
    </row>
    <row r="247" spans="1:2" x14ac:dyDescent="0.25">
      <c r="A247" t="s">
        <v>106</v>
      </c>
      <c r="B247">
        <f>B142</f>
        <v>120000</v>
      </c>
    </row>
    <row r="248" spans="1:2" x14ac:dyDescent="0.25">
      <c r="A248" t="s">
        <v>107</v>
      </c>
      <c r="B248">
        <f>B143</f>
        <v>26400</v>
      </c>
    </row>
    <row r="249" spans="1:2" x14ac:dyDescent="0.25">
      <c r="A249" t="s">
        <v>158</v>
      </c>
      <c r="B249">
        <f>B153</f>
        <v>409968.00000000006</v>
      </c>
    </row>
    <row r="250" spans="1:2" x14ac:dyDescent="0.25">
      <c r="A250" t="s">
        <v>159</v>
      </c>
      <c r="B250">
        <f>B154</f>
        <v>90192.960000000006</v>
      </c>
    </row>
    <row r="251" spans="1:2" x14ac:dyDescent="0.25">
      <c r="A251" t="s">
        <v>160</v>
      </c>
      <c r="B251">
        <f>G176</f>
        <v>25937.264999999996</v>
      </c>
    </row>
    <row r="252" spans="1:2" x14ac:dyDescent="0.25">
      <c r="A252" t="s">
        <v>161</v>
      </c>
      <c r="B252">
        <f>H176</f>
        <v>5706.1983000000009</v>
      </c>
    </row>
    <row r="253" spans="1:2" x14ac:dyDescent="0.25">
      <c r="A253" t="s">
        <v>162</v>
      </c>
      <c r="B253">
        <f>B186</f>
        <v>0</v>
      </c>
    </row>
    <row r="254" spans="1:2" x14ac:dyDescent="0.25">
      <c r="A254" t="s">
        <v>163</v>
      </c>
      <c r="B254">
        <f>B193</f>
        <v>0</v>
      </c>
    </row>
    <row r="255" spans="1:2" x14ac:dyDescent="0.25">
      <c r="A255" t="s">
        <v>164</v>
      </c>
      <c r="B255">
        <f>B204</f>
        <v>28006.971428571433</v>
      </c>
    </row>
    <row r="256" spans="1:2" x14ac:dyDescent="0.25">
      <c r="A256" t="s">
        <v>165</v>
      </c>
      <c r="B256">
        <f>B205</f>
        <v>6161.5337142857152</v>
      </c>
    </row>
    <row r="257" spans="1:2" x14ac:dyDescent="0.25">
      <c r="A257" t="s">
        <v>166</v>
      </c>
      <c r="B257">
        <f>B222</f>
        <v>12592.8</v>
      </c>
    </row>
    <row r="258" spans="1:2" x14ac:dyDescent="0.25">
      <c r="A258" t="s">
        <v>167</v>
      </c>
      <c r="B258">
        <f>B223</f>
        <v>0</v>
      </c>
    </row>
    <row r="259" spans="1:2" x14ac:dyDescent="0.25">
      <c r="A259" t="s">
        <v>168</v>
      </c>
      <c r="B259">
        <f>B224</f>
        <v>2770.4159999999997</v>
      </c>
    </row>
    <row r="260" spans="1:2" x14ac:dyDescent="0.25">
      <c r="A260" t="s">
        <v>169</v>
      </c>
      <c r="B260">
        <f>B225</f>
        <v>0</v>
      </c>
    </row>
    <row r="261" spans="1:2" x14ac:dyDescent="0.25">
      <c r="A261" t="s">
        <v>170</v>
      </c>
      <c r="B261">
        <f>B234</f>
        <v>0</v>
      </c>
    </row>
    <row r="262" spans="1:2" x14ac:dyDescent="0.25">
      <c r="A262" t="s">
        <v>171</v>
      </c>
      <c r="B262">
        <v>0</v>
      </c>
    </row>
    <row r="263" spans="1:2" x14ac:dyDescent="0.25">
      <c r="A263" t="s">
        <v>172</v>
      </c>
      <c r="B263">
        <f>B238</f>
        <v>0</v>
      </c>
    </row>
    <row r="264" spans="1:2" x14ac:dyDescent="0.25">
      <c r="A264" t="s">
        <v>173</v>
      </c>
      <c r="B264">
        <f>B241</f>
        <v>21277.450101600003</v>
      </c>
    </row>
    <row r="266" spans="1:2" x14ac:dyDescent="0.25">
      <c r="A266" s="4" t="s">
        <v>174</v>
      </c>
      <c r="B266">
        <f>(I137+B143+B154+H176+B205+B224+B186+B193+B234+B238+B241)+N5+N6</f>
        <v>162721.7341646537</v>
      </c>
    </row>
    <row r="267" spans="1:2" x14ac:dyDescent="0.25">
      <c r="A267" s="4" t="s">
        <v>175</v>
      </c>
      <c r="B267">
        <f>B225+B235</f>
        <v>0</v>
      </c>
    </row>
    <row r="268" spans="1:2" x14ac:dyDescent="0.25">
      <c r="A268" s="4" t="s">
        <v>176</v>
      </c>
      <c r="B268">
        <f>B266+B267</f>
        <v>162721.7341646537</v>
      </c>
    </row>
    <row r="269" spans="1:2" x14ac:dyDescent="0.25">
      <c r="A269" s="4" t="s">
        <v>177</v>
      </c>
      <c r="B269">
        <f>IF(E3&gt;0,B268/12/E3,"")</f>
        <v>43.048077821336953</v>
      </c>
    </row>
  </sheetData>
  <mergeCells count="2">
    <mergeCell ref="A1:N1"/>
    <mergeCell ref="A8:N8"/>
  </mergeCells>
  <dataValidations count="5">
    <dataValidation type="list" showInputMessage="1" showErrorMessage="1" sqref="B66 C12:D39" xr:uid="{00000000-0002-0000-0100-000000000000}">
      <formula1>"Yes,No"</formula1>
    </dataValidation>
    <dataValidation type="list" showInputMessage="1" showErrorMessage="1" sqref="B72" xr:uid="{00000000-0002-0000-0100-000001000000}">
      <formula1>"None,Gas boiler,Electric boiler,Heat Pump Pool Heater"</formula1>
    </dataValidation>
    <dataValidation type="list" showInputMessage="1" showErrorMessage="1" sqref="B74 B86" xr:uid="{00000000-0002-0000-0100-000002000000}">
      <formula1>$K$74:$Q$74</formula1>
    </dataValidation>
    <dataValidation type="list" showInputMessage="1" showErrorMessage="1" sqref="B100" xr:uid="{00000000-0002-0000-0100-000003000000}">
      <formula1>"Gas boiler,Electric resistance,Heat pump"</formula1>
    </dataValidation>
    <dataValidation type="list" showInputMessage="1" showErrorMessage="1" sqref="B72" xr:uid="{00000000-0002-0000-0100-000004000000}">
      <formula1>"Gas,Electric,Heat Pump"</formula1>
    </dataValidation>
  </dataValidation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/>
  </sheetViews>
  <sheetFormatPr defaultColWidth="8.85546875" defaultRowHeight="15" x14ac:dyDescent="0.25"/>
  <cols>
    <col min="1" max="1" width="36" customWidth="1"/>
    <col min="2" max="2" width="100" customWidth="1"/>
  </cols>
  <sheetData>
    <row r="1" spans="1:2" ht="18.95" customHeight="1" x14ac:dyDescent="0.3">
      <c r="A1" s="1" t="s">
        <v>178</v>
      </c>
    </row>
    <row r="3" spans="1:2" x14ac:dyDescent="0.25">
      <c r="A3" s="2" t="s">
        <v>179</v>
      </c>
      <c r="B3" s="2" t="s">
        <v>180</v>
      </c>
    </row>
    <row r="4" spans="1:2" x14ac:dyDescent="0.25">
      <c r="A4" s="3" t="s">
        <v>181</v>
      </c>
      <c r="B4" s="3" t="s">
        <v>182</v>
      </c>
    </row>
    <row r="5" spans="1:2" x14ac:dyDescent="0.25">
      <c r="A5" s="3" t="s">
        <v>63</v>
      </c>
      <c r="B5" s="3" t="s">
        <v>183</v>
      </c>
    </row>
    <row r="6" spans="1:2" x14ac:dyDescent="0.25">
      <c r="A6" s="3" t="s">
        <v>184</v>
      </c>
      <c r="B6" s="3" t="s">
        <v>185</v>
      </c>
    </row>
    <row r="7" spans="1:2" x14ac:dyDescent="0.25">
      <c r="A7" s="3" t="s">
        <v>186</v>
      </c>
      <c r="B7" s="3" t="s">
        <v>187</v>
      </c>
    </row>
    <row r="8" spans="1:2" x14ac:dyDescent="0.25">
      <c r="A8" s="3" t="s">
        <v>188</v>
      </c>
      <c r="B8" s="3" t="s">
        <v>189</v>
      </c>
    </row>
    <row r="9" spans="1:2" x14ac:dyDescent="0.25">
      <c r="A9" s="3" t="s">
        <v>190</v>
      </c>
      <c r="B9" s="3" t="s">
        <v>191</v>
      </c>
    </row>
    <row r="10" spans="1:2" x14ac:dyDescent="0.25">
      <c r="A10" s="3" t="s">
        <v>192</v>
      </c>
      <c r="B10" s="3" t="s">
        <v>193</v>
      </c>
    </row>
    <row r="11" spans="1:2" x14ac:dyDescent="0.25">
      <c r="A11" s="3" t="s">
        <v>41</v>
      </c>
      <c r="B11" s="3" t="s">
        <v>194</v>
      </c>
    </row>
    <row r="12" spans="1:2" x14ac:dyDescent="0.25">
      <c r="A12" s="3" t="s">
        <v>195</v>
      </c>
      <c r="B12" s="3" t="s">
        <v>196</v>
      </c>
    </row>
    <row r="13" spans="1:2" x14ac:dyDescent="0.25">
      <c r="A13" s="3" t="s">
        <v>197</v>
      </c>
      <c r="B13" s="3" t="s">
        <v>198</v>
      </c>
    </row>
    <row r="14" spans="1:2" x14ac:dyDescent="0.25">
      <c r="A14" s="3" t="s">
        <v>199</v>
      </c>
      <c r="B14" s="3" t="s">
        <v>200</v>
      </c>
    </row>
  </sheetData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4"/>
  <sheetViews>
    <sheetView topLeftCell="A6" workbookViewId="0">
      <selection activeCell="B37" sqref="B37"/>
    </sheetView>
  </sheetViews>
  <sheetFormatPr defaultColWidth="8.85546875" defaultRowHeight="15" x14ac:dyDescent="0.25"/>
  <cols>
    <col min="1" max="1" width="28" customWidth="1"/>
    <col min="2" max="2" width="46" customWidth="1"/>
    <col min="3" max="3" width="60" customWidth="1"/>
    <col min="4" max="5" width="14" customWidth="1"/>
    <col min="6" max="6" width="18" customWidth="1"/>
    <col min="7" max="7" width="28.7109375" customWidth="1"/>
    <col min="8" max="8" width="40" customWidth="1"/>
  </cols>
  <sheetData>
    <row r="1" spans="1:3" ht="18.95" customHeight="1" x14ac:dyDescent="0.3">
      <c r="A1" s="1" t="s">
        <v>201</v>
      </c>
    </row>
    <row r="2" spans="1:3" x14ac:dyDescent="0.25">
      <c r="A2" s="2" t="s">
        <v>202</v>
      </c>
      <c r="B2" s="2" t="s">
        <v>96</v>
      </c>
      <c r="C2" s="2" t="s">
        <v>26</v>
      </c>
    </row>
    <row r="3" spans="1:3" x14ac:dyDescent="0.25">
      <c r="A3" s="3" t="s">
        <v>27</v>
      </c>
      <c r="B3" s="3">
        <v>0.4</v>
      </c>
      <c r="C3" s="3" t="s">
        <v>203</v>
      </c>
    </row>
    <row r="4" spans="1:3" x14ac:dyDescent="0.25">
      <c r="A4" s="3" t="s">
        <v>30</v>
      </c>
      <c r="B4" s="3">
        <v>0.6</v>
      </c>
      <c r="C4" s="3" t="s">
        <v>204</v>
      </c>
    </row>
    <row r="5" spans="1:3" x14ac:dyDescent="0.25">
      <c r="A5" s="3" t="s">
        <v>31</v>
      </c>
      <c r="B5" s="3">
        <v>0.7</v>
      </c>
      <c r="C5" s="3" t="s">
        <v>205</v>
      </c>
    </row>
    <row r="6" spans="1:3" x14ac:dyDescent="0.25">
      <c r="A6" s="3" t="s">
        <v>32</v>
      </c>
      <c r="B6" s="3">
        <v>0.55000000000000004</v>
      </c>
      <c r="C6" s="3" t="s">
        <v>206</v>
      </c>
    </row>
    <row r="7" spans="1:3" x14ac:dyDescent="0.25">
      <c r="A7" s="3" t="s">
        <v>33</v>
      </c>
      <c r="B7" s="3">
        <v>0.5</v>
      </c>
      <c r="C7" s="3" t="s">
        <v>207</v>
      </c>
    </row>
    <row r="8" spans="1:3" x14ac:dyDescent="0.25">
      <c r="A8" s="3" t="s">
        <v>34</v>
      </c>
      <c r="B8" s="3">
        <v>0.6</v>
      </c>
      <c r="C8" s="3" t="s">
        <v>208</v>
      </c>
    </row>
    <row r="9" spans="1:3" x14ac:dyDescent="0.25">
      <c r="A9" s="3" t="s">
        <v>35</v>
      </c>
      <c r="B9" s="3">
        <v>0.65</v>
      </c>
      <c r="C9" s="3" t="s">
        <v>209</v>
      </c>
    </row>
    <row r="10" spans="1:3" x14ac:dyDescent="0.25">
      <c r="A10" s="3" t="s">
        <v>36</v>
      </c>
      <c r="B10" s="3">
        <v>0.65</v>
      </c>
      <c r="C10" s="3"/>
    </row>
    <row r="11" spans="1:3" x14ac:dyDescent="0.25">
      <c r="A11" s="3" t="s">
        <v>37</v>
      </c>
      <c r="B11" s="3">
        <v>0.45</v>
      </c>
      <c r="C11" s="3"/>
    </row>
    <row r="12" spans="1:3" x14ac:dyDescent="0.25">
      <c r="A12" s="3" t="s">
        <v>38</v>
      </c>
      <c r="B12" s="3">
        <v>0.4</v>
      </c>
      <c r="C12" s="3"/>
    </row>
    <row r="13" spans="1:3" x14ac:dyDescent="0.25">
      <c r="A13" s="3" t="s">
        <v>39</v>
      </c>
      <c r="B13" s="3">
        <v>0.4</v>
      </c>
      <c r="C13" s="3"/>
    </row>
    <row r="14" spans="1:3" x14ac:dyDescent="0.25">
      <c r="A14" s="3" t="s">
        <v>40</v>
      </c>
      <c r="B14" s="3">
        <v>0.95</v>
      </c>
      <c r="C14" s="3" t="s">
        <v>210</v>
      </c>
    </row>
    <row r="15" spans="1:3" x14ac:dyDescent="0.25">
      <c r="A15" s="3" t="s">
        <v>41</v>
      </c>
      <c r="B15" s="3">
        <v>0.55000000000000004</v>
      </c>
      <c r="C15" s="3" t="s">
        <v>211</v>
      </c>
    </row>
    <row r="16" spans="1:3" x14ac:dyDescent="0.25">
      <c r="A16" s="3" t="s">
        <v>42</v>
      </c>
      <c r="B16" s="3">
        <v>0.3</v>
      </c>
      <c r="C16" s="3" t="s">
        <v>212</v>
      </c>
    </row>
    <row r="17" spans="1:8" ht="18.95" customHeight="1" x14ac:dyDescent="0.3">
      <c r="A17" s="1" t="s">
        <v>43</v>
      </c>
    </row>
    <row r="18" spans="1:8" x14ac:dyDescent="0.25">
      <c r="A18" s="2" t="s">
        <v>44</v>
      </c>
      <c r="B18" s="2" t="s">
        <v>213</v>
      </c>
      <c r="C18" s="2" t="s">
        <v>214</v>
      </c>
      <c r="D18" s="2" t="s">
        <v>15</v>
      </c>
      <c r="E18" s="2" t="s">
        <v>16</v>
      </c>
      <c r="F18" s="2" t="s">
        <v>215</v>
      </c>
      <c r="G18" s="2" t="s">
        <v>216</v>
      </c>
      <c r="H18" s="2" t="s">
        <v>217</v>
      </c>
    </row>
    <row r="19" spans="1:8" x14ac:dyDescent="0.25">
      <c r="A19" s="3" t="s">
        <v>45</v>
      </c>
      <c r="B19" s="3" t="s">
        <v>218</v>
      </c>
      <c r="C19" s="3">
        <v>0.34</v>
      </c>
      <c r="D19" s="3">
        <v>0</v>
      </c>
      <c r="E19" s="3">
        <v>15</v>
      </c>
      <c r="F19" s="3" t="s">
        <v>219</v>
      </c>
      <c r="G19" s="3" t="s">
        <v>220</v>
      </c>
      <c r="H19" s="3" t="s">
        <v>221</v>
      </c>
    </row>
    <row r="20" spans="1:8" x14ac:dyDescent="0.25">
      <c r="A20" s="3" t="s">
        <v>45</v>
      </c>
      <c r="B20" s="3" t="s">
        <v>222</v>
      </c>
      <c r="C20" s="3">
        <v>0.27</v>
      </c>
      <c r="D20" s="3">
        <v>23</v>
      </c>
      <c r="E20" s="3">
        <v>150</v>
      </c>
      <c r="F20" s="3" t="s">
        <v>223</v>
      </c>
      <c r="G20" s="3" t="s">
        <v>220</v>
      </c>
      <c r="H20" s="3" t="s">
        <v>224</v>
      </c>
    </row>
    <row r="21" spans="1:8" x14ac:dyDescent="0.25">
      <c r="A21" s="3" t="s">
        <v>45</v>
      </c>
      <c r="B21" s="3" t="s">
        <v>225</v>
      </c>
      <c r="C21" s="3">
        <v>0.24</v>
      </c>
      <c r="D21" s="3">
        <v>28</v>
      </c>
      <c r="E21" s="3">
        <v>300</v>
      </c>
      <c r="F21" s="3" t="s">
        <v>226</v>
      </c>
      <c r="G21" s="3" t="s">
        <v>220</v>
      </c>
      <c r="H21" s="3" t="s">
        <v>227</v>
      </c>
    </row>
    <row r="22" spans="1:8" x14ac:dyDescent="0.25">
      <c r="A22" s="3" t="s">
        <v>46</v>
      </c>
      <c r="B22" s="3" t="s">
        <v>218</v>
      </c>
      <c r="C22" s="3">
        <v>0.28000000000000003</v>
      </c>
      <c r="D22" s="3">
        <v>0</v>
      </c>
      <c r="E22" s="3">
        <v>16</v>
      </c>
      <c r="F22" s="3" t="s">
        <v>228</v>
      </c>
      <c r="G22" s="3" t="s">
        <v>220</v>
      </c>
      <c r="H22" s="3" t="s">
        <v>229</v>
      </c>
    </row>
    <row r="23" spans="1:8" x14ac:dyDescent="0.25">
      <c r="A23" s="3" t="s">
        <v>46</v>
      </c>
      <c r="B23" s="3" t="s">
        <v>222</v>
      </c>
      <c r="C23" s="3">
        <v>0.24</v>
      </c>
      <c r="D23" s="3">
        <v>18</v>
      </c>
      <c r="E23" s="3">
        <v>100</v>
      </c>
      <c r="F23" s="3" t="s">
        <v>230</v>
      </c>
      <c r="G23" s="3" t="s">
        <v>220</v>
      </c>
      <c r="H23" s="3" t="s">
        <v>231</v>
      </c>
    </row>
    <row r="24" spans="1:8" x14ac:dyDescent="0.25">
      <c r="A24" s="3" t="s">
        <v>46</v>
      </c>
      <c r="B24" s="3" t="s">
        <v>225</v>
      </c>
      <c r="C24" s="3">
        <v>0.22</v>
      </c>
      <c r="D24" s="3">
        <v>22</v>
      </c>
      <c r="E24" s="3">
        <v>150</v>
      </c>
      <c r="F24" s="3" t="s">
        <v>232</v>
      </c>
      <c r="G24" s="3" t="s">
        <v>220</v>
      </c>
      <c r="H24" s="3" t="s">
        <v>233</v>
      </c>
    </row>
    <row r="25" spans="1:8" x14ac:dyDescent="0.25">
      <c r="A25" s="3" t="s">
        <v>47</v>
      </c>
      <c r="B25" s="3" t="s">
        <v>218</v>
      </c>
      <c r="C25" s="3">
        <v>0.33</v>
      </c>
      <c r="D25" s="3">
        <v>0</v>
      </c>
      <c r="E25" s="3">
        <v>20</v>
      </c>
      <c r="F25" s="3" t="s">
        <v>234</v>
      </c>
      <c r="G25" s="3" t="s">
        <v>220</v>
      </c>
      <c r="H25" s="3" t="s">
        <v>235</v>
      </c>
    </row>
    <row r="26" spans="1:8" x14ac:dyDescent="0.25">
      <c r="A26" s="3" t="s">
        <v>47</v>
      </c>
      <c r="B26" s="3" t="s">
        <v>222</v>
      </c>
      <c r="C26" s="3">
        <v>0.28000000000000003</v>
      </c>
      <c r="D26" s="3">
        <v>20</v>
      </c>
      <c r="E26" s="3">
        <v>120</v>
      </c>
      <c r="F26" s="3" t="s">
        <v>236</v>
      </c>
      <c r="G26" s="3" t="s">
        <v>220</v>
      </c>
      <c r="H26" s="3" t="s">
        <v>237</v>
      </c>
    </row>
    <row r="27" spans="1:8" x14ac:dyDescent="0.25">
      <c r="A27" s="3" t="s">
        <v>47</v>
      </c>
      <c r="B27" s="3" t="s">
        <v>225</v>
      </c>
      <c r="C27" s="3">
        <v>0.26</v>
      </c>
      <c r="D27" s="3">
        <v>24</v>
      </c>
      <c r="E27" s="3">
        <v>180</v>
      </c>
      <c r="F27" s="3" t="s">
        <v>238</v>
      </c>
      <c r="G27" s="3" t="s">
        <v>220</v>
      </c>
      <c r="H27" s="3" t="s">
        <v>239</v>
      </c>
    </row>
    <row r="28" spans="1:8" x14ac:dyDescent="0.25">
      <c r="A28" s="3" t="s">
        <v>48</v>
      </c>
      <c r="B28" s="3" t="s">
        <v>240</v>
      </c>
      <c r="C28" s="3">
        <v>0.3</v>
      </c>
      <c r="D28" s="3">
        <v>0</v>
      </c>
      <c r="E28" s="3">
        <v>0</v>
      </c>
      <c r="F28" s="3" t="s">
        <v>241</v>
      </c>
      <c r="G28" s="3" t="s">
        <v>242</v>
      </c>
      <c r="H28" s="3" t="s">
        <v>243</v>
      </c>
    </row>
    <row r="31" spans="1:8" ht="18.95" customHeight="1" x14ac:dyDescent="0.3">
      <c r="A31" s="1" t="s">
        <v>244</v>
      </c>
    </row>
    <row r="32" spans="1:8" x14ac:dyDescent="0.25">
      <c r="A32" s="2" t="s">
        <v>245</v>
      </c>
      <c r="B32" s="2" t="s">
        <v>246</v>
      </c>
      <c r="C32" s="2" t="s">
        <v>247</v>
      </c>
    </row>
    <row r="33" spans="1:3" x14ac:dyDescent="0.25">
      <c r="A33" s="3" t="s">
        <v>248</v>
      </c>
      <c r="B33" s="3" t="s">
        <v>249</v>
      </c>
      <c r="C33" s="3" t="s">
        <v>250</v>
      </c>
    </row>
    <row r="34" spans="1:3" x14ac:dyDescent="0.25">
      <c r="A34" s="3" t="s">
        <v>251</v>
      </c>
      <c r="B34" s="3" t="s">
        <v>252</v>
      </c>
      <c r="C34" s="3" t="s">
        <v>253</v>
      </c>
    </row>
    <row r="35" spans="1:3" x14ac:dyDescent="0.25">
      <c r="A35" s="3" t="s">
        <v>254</v>
      </c>
      <c r="B35" s="3" t="s">
        <v>255</v>
      </c>
      <c r="C35" s="3" t="s">
        <v>256</v>
      </c>
    </row>
    <row r="36" spans="1:3" x14ac:dyDescent="0.25">
      <c r="A36" s="3" t="s">
        <v>257</v>
      </c>
      <c r="B36" s="3" t="s">
        <v>258</v>
      </c>
      <c r="C36" s="3" t="s">
        <v>259</v>
      </c>
    </row>
    <row r="37" spans="1:3" x14ac:dyDescent="0.25">
      <c r="A37" s="3" t="s">
        <v>260</v>
      </c>
      <c r="B37" s="3" t="s">
        <v>261</v>
      </c>
      <c r="C37" s="3" t="s">
        <v>262</v>
      </c>
    </row>
    <row r="39" spans="1:3" x14ac:dyDescent="0.25">
      <c r="A39" t="s">
        <v>263</v>
      </c>
      <c r="B39" t="s">
        <v>264</v>
      </c>
    </row>
    <row r="40" spans="1:3" x14ac:dyDescent="0.25">
      <c r="A40" t="s">
        <v>265</v>
      </c>
      <c r="B40">
        <v>10</v>
      </c>
    </row>
    <row r="41" spans="1:3" x14ac:dyDescent="0.25">
      <c r="A41" t="s">
        <v>82</v>
      </c>
      <c r="B41">
        <v>8</v>
      </c>
    </row>
    <row r="42" spans="1:3" x14ac:dyDescent="0.25">
      <c r="A42" t="s">
        <v>83</v>
      </c>
      <c r="B42">
        <v>180</v>
      </c>
    </row>
    <row r="43" spans="1:3" x14ac:dyDescent="0.25">
      <c r="A43" t="s">
        <v>84</v>
      </c>
      <c r="B43">
        <v>0.85</v>
      </c>
    </row>
    <row r="44" spans="1:3" x14ac:dyDescent="0.25">
      <c r="A44" t="s">
        <v>266</v>
      </c>
      <c r="B44">
        <v>4</v>
      </c>
    </row>
    <row r="45" spans="1:3" x14ac:dyDescent="0.25">
      <c r="A45" t="s">
        <v>86</v>
      </c>
      <c r="B45">
        <v>0.7</v>
      </c>
    </row>
    <row r="46" spans="1:3" x14ac:dyDescent="0.25">
      <c r="A46" t="s">
        <v>87</v>
      </c>
      <c r="B46">
        <v>12</v>
      </c>
    </row>
    <row r="47" spans="1:3" x14ac:dyDescent="0.25">
      <c r="A47" t="s">
        <v>88</v>
      </c>
      <c r="B47">
        <v>365</v>
      </c>
    </row>
    <row r="49" spans="1:2" x14ac:dyDescent="0.25">
      <c r="A49" t="s">
        <v>267</v>
      </c>
      <c r="B49" t="s">
        <v>264</v>
      </c>
    </row>
    <row r="50" spans="1:2" x14ac:dyDescent="0.25">
      <c r="A50" t="s">
        <v>90</v>
      </c>
      <c r="B50">
        <v>2</v>
      </c>
    </row>
    <row r="51" spans="1:2" x14ac:dyDescent="0.25">
      <c r="A51" t="s">
        <v>91</v>
      </c>
      <c r="B51">
        <v>1.5</v>
      </c>
    </row>
    <row r="52" spans="1:2" x14ac:dyDescent="0.25">
      <c r="A52" t="s">
        <v>92</v>
      </c>
      <c r="B52">
        <v>0.3</v>
      </c>
    </row>
    <row r="53" spans="1:2" x14ac:dyDescent="0.25">
      <c r="A53" t="s">
        <v>93</v>
      </c>
      <c r="B53">
        <v>24</v>
      </c>
    </row>
    <row r="54" spans="1:2" x14ac:dyDescent="0.25">
      <c r="A54" t="s">
        <v>76</v>
      </c>
      <c r="B54">
        <v>365</v>
      </c>
    </row>
  </sheetData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3"/>
  <sheetViews>
    <sheetView tabSelected="1" view="pageLayout" zoomScaleNormal="100" workbookViewId="0">
      <selection activeCell="D7" sqref="D7"/>
    </sheetView>
  </sheetViews>
  <sheetFormatPr defaultColWidth="8.85546875" defaultRowHeight="15" outlineLevelRow="2" x14ac:dyDescent="0.25"/>
  <cols>
    <col min="1" max="1" width="52.7109375" customWidth="1"/>
    <col min="2" max="2" width="28.7109375" customWidth="1"/>
    <col min="3" max="3" width="23" customWidth="1"/>
    <col min="4" max="4" width="20.42578125" customWidth="1"/>
    <col min="5" max="5" width="18" customWidth="1"/>
  </cols>
  <sheetData>
    <row r="1" spans="1:6" ht="111.75" customHeight="1" x14ac:dyDescent="0.25"/>
    <row r="2" spans="1:6" ht="23.25" x14ac:dyDescent="0.35">
      <c r="A2" s="51" t="s">
        <v>279</v>
      </c>
      <c r="B2" s="51"/>
      <c r="C2" s="51"/>
    </row>
    <row r="3" spans="1:6" ht="21" x14ac:dyDescent="0.35">
      <c r="B3" s="23"/>
      <c r="C3" s="23"/>
    </row>
    <row r="4" spans="1:6" s="15" customFormat="1" ht="15.75" x14ac:dyDescent="0.25">
      <c r="A4" s="46" t="s">
        <v>285</v>
      </c>
      <c r="B4" s="16"/>
    </row>
    <row r="5" spans="1:6" s="15" customFormat="1" ht="15.75" x14ac:dyDescent="0.25">
      <c r="A5" s="46" t="s">
        <v>301</v>
      </c>
      <c r="B5" s="17"/>
      <c r="C5" s="15" t="s">
        <v>268</v>
      </c>
      <c r="D5" s="15" t="s">
        <v>269</v>
      </c>
      <c r="E5" s="15" t="s">
        <v>270</v>
      </c>
      <c r="F5" s="15" t="s">
        <v>271</v>
      </c>
    </row>
    <row r="6" spans="1:6" s="15" customFormat="1" x14ac:dyDescent="0.25">
      <c r="B6" s="15" t="s">
        <v>29</v>
      </c>
      <c r="C6" s="15" t="s">
        <v>29</v>
      </c>
      <c r="D6" s="15" t="s">
        <v>29</v>
      </c>
      <c r="E6" s="15" t="s">
        <v>29</v>
      </c>
      <c r="F6" s="15" t="s">
        <v>29</v>
      </c>
    </row>
    <row r="7" spans="1:6" ht="72" customHeight="1" x14ac:dyDescent="0.25">
      <c r="A7" s="50" t="s">
        <v>281</v>
      </c>
      <c r="B7" s="50"/>
      <c r="C7" s="50"/>
      <c r="D7" s="47"/>
      <c r="E7" s="47"/>
    </row>
    <row r="8" spans="1:6" ht="18" customHeight="1" x14ac:dyDescent="0.25">
      <c r="A8" s="18"/>
      <c r="B8" s="18"/>
      <c r="C8" s="18"/>
      <c r="D8" s="18"/>
      <c r="E8" s="18"/>
    </row>
    <row r="9" spans="1:6" ht="18.75" x14ac:dyDescent="0.3">
      <c r="A9" s="1" t="s">
        <v>282</v>
      </c>
    </row>
    <row r="10" spans="1:6" ht="15.75" x14ac:dyDescent="0.25">
      <c r="A10" s="33" t="s">
        <v>272</v>
      </c>
      <c r="B10" s="33" t="s">
        <v>100</v>
      </c>
      <c r="C10" s="34" t="s">
        <v>101</v>
      </c>
      <c r="D10" s="30"/>
    </row>
    <row r="11" spans="1:6" ht="15.75" outlineLevel="2" x14ac:dyDescent="0.25">
      <c r="A11" s="35" t="s">
        <v>303</v>
      </c>
      <c r="B11" s="36">
        <f>IF($B$6="Yes", Inputs_Calcs!B249, "")</f>
        <v>409968.00000000006</v>
      </c>
      <c r="C11" s="37">
        <f>IF($E$6="Yes", Inputs_Calcs!B250, "")</f>
        <v>90192.960000000006</v>
      </c>
      <c r="D11" s="31"/>
    </row>
    <row r="12" spans="1:6" ht="15.75" outlineLevel="2" x14ac:dyDescent="0.25">
      <c r="A12" s="35" t="s">
        <v>302</v>
      </c>
      <c r="B12" s="36">
        <f>Inputs_Calcs!B163</f>
        <v>965790</v>
      </c>
      <c r="C12" s="37">
        <f>Inputs_Calcs!B164</f>
        <v>212473.8</v>
      </c>
      <c r="D12" s="31"/>
    </row>
    <row r="13" spans="1:6" ht="15.75" outlineLevel="2" x14ac:dyDescent="0.25">
      <c r="A13" s="35" t="s">
        <v>298</v>
      </c>
      <c r="B13" s="36">
        <f>IF($B$6="Yes", Inputs_Calcs!B245, "")</f>
        <v>46423.527494400005</v>
      </c>
      <c r="C13" s="37">
        <f>IF($E$6="Yes", Inputs_Calcs!B246, "")</f>
        <v>10213.176048768</v>
      </c>
      <c r="D13" s="31"/>
    </row>
    <row r="14" spans="1:6" ht="15.75" outlineLevel="2" x14ac:dyDescent="0.25">
      <c r="A14" s="35"/>
      <c r="B14" s="36"/>
      <c r="C14" s="37"/>
      <c r="D14" s="31"/>
    </row>
    <row r="15" spans="1:6" ht="15.75" outlineLevel="2" x14ac:dyDescent="0.25">
      <c r="A15" s="38" t="s">
        <v>294</v>
      </c>
      <c r="B15" s="39">
        <f>SUM(B11:B13)</f>
        <v>1422181.5274944</v>
      </c>
      <c r="C15" s="40">
        <f>SUM(C11:C13)</f>
        <v>312879.936048768</v>
      </c>
      <c r="D15" s="32"/>
    </row>
    <row r="16" spans="1:6" ht="15.75" outlineLevel="2" x14ac:dyDescent="0.25">
      <c r="A16" s="35"/>
      <c r="B16" s="36"/>
      <c r="C16" s="37"/>
      <c r="D16" s="31"/>
    </row>
    <row r="17" spans="1:5" ht="15.75" outlineLevel="2" x14ac:dyDescent="0.25">
      <c r="A17" s="35" t="s">
        <v>286</v>
      </c>
      <c r="B17" s="36">
        <v>9100</v>
      </c>
      <c r="C17" s="37">
        <f>0.22*B17</f>
        <v>2002</v>
      </c>
      <c r="D17" s="31"/>
    </row>
    <row r="18" spans="1:5" ht="15.75" outlineLevel="2" x14ac:dyDescent="0.25">
      <c r="A18" s="35" t="s">
        <v>287</v>
      </c>
      <c r="B18" s="36">
        <v>103800</v>
      </c>
      <c r="C18" s="37">
        <f>0.22*B18</f>
        <v>22836</v>
      </c>
      <c r="D18" s="31"/>
    </row>
    <row r="19" spans="1:5" ht="15.75" outlineLevel="2" x14ac:dyDescent="0.25">
      <c r="A19" s="35" t="s">
        <v>288</v>
      </c>
      <c r="B19" s="36">
        <v>8800</v>
      </c>
      <c r="C19" s="37">
        <f>IF($E$6="Yes", Inputs_Calcs!B264, "")</f>
        <v>21277.450101600003</v>
      </c>
      <c r="D19" s="31"/>
    </row>
    <row r="20" spans="1:5" ht="15.75" outlineLevel="2" x14ac:dyDescent="0.25">
      <c r="A20" s="38" t="s">
        <v>293</v>
      </c>
      <c r="B20" s="39">
        <f>IF(B17+B18+B19="",0,B17+B18+B19)</f>
        <v>121700</v>
      </c>
      <c r="C20" s="40">
        <f>IF(C17+C18+C19="",0,C17+C18+C19)</f>
        <v>46115.450101599999</v>
      </c>
      <c r="D20" s="32"/>
    </row>
    <row r="21" spans="1:5" ht="15.75" outlineLevel="2" x14ac:dyDescent="0.25">
      <c r="A21" s="45" t="s">
        <v>297</v>
      </c>
      <c r="B21" s="41">
        <f>(Inputs_Calcs!B240)</f>
        <v>96715.682280000008</v>
      </c>
      <c r="C21" s="42">
        <f>(Inputs_Calcs!B241)</f>
        <v>21277.450101600003</v>
      </c>
      <c r="D21" s="32"/>
    </row>
    <row r="22" spans="1:5" ht="15.75" x14ac:dyDescent="0.25">
      <c r="A22" s="35" t="s">
        <v>295</v>
      </c>
      <c r="B22" s="36">
        <f>IF($B$6="Yes", Inputs_Calcs!B247, "")</f>
        <v>120000</v>
      </c>
      <c r="C22" s="37">
        <f>IF($E$6="Yes", Inputs_Calcs!B248, "")</f>
        <v>26400</v>
      </c>
      <c r="D22" s="31"/>
    </row>
    <row r="23" spans="1:5" ht="15.75" x14ac:dyDescent="0.25">
      <c r="A23" s="38" t="s">
        <v>296</v>
      </c>
      <c r="B23" s="39">
        <f>SUM(B21:B22)</f>
        <v>216715.68228000001</v>
      </c>
      <c r="C23" s="40">
        <f>SUM(C21:C22)</f>
        <v>47677.450101599999</v>
      </c>
      <c r="D23" s="32"/>
    </row>
    <row r="24" spans="1:5" ht="15.75" outlineLevel="1" x14ac:dyDescent="0.25">
      <c r="A24" s="35" t="s">
        <v>299</v>
      </c>
      <c r="B24" s="36">
        <f>Inputs_Calcs!B203+Inputs_Calcs!B218</f>
        <v>20299.885714285716</v>
      </c>
      <c r="C24" s="37">
        <f>IF($E$6="Yes", Inputs_Calcs!B256, "")</f>
        <v>6161.5337142857152</v>
      </c>
      <c r="D24" s="31"/>
    </row>
    <row r="25" spans="1:5" ht="15.75" outlineLevel="1" x14ac:dyDescent="0.25">
      <c r="A25" s="35" t="s">
        <v>291</v>
      </c>
      <c r="B25" s="36">
        <f>(Inputs_Calcs!B89)</f>
        <v>32192.999999999996</v>
      </c>
      <c r="C25" s="37">
        <f>(Inputs_Calcs!C89)</f>
        <v>7082.4599999999991</v>
      </c>
      <c r="D25" s="31"/>
    </row>
    <row r="26" spans="1:5" ht="15.75" outlineLevel="1" x14ac:dyDescent="0.25">
      <c r="A26" s="38" t="s">
        <v>273</v>
      </c>
      <c r="B26" s="39">
        <f>SUM(B24:B25)</f>
        <v>52492.885714285716</v>
      </c>
      <c r="C26" s="40">
        <f>SUM(C24:C25)</f>
        <v>13243.993714285714</v>
      </c>
      <c r="D26" s="32"/>
    </row>
    <row r="27" spans="1:5" ht="15.75" outlineLevel="1" x14ac:dyDescent="0.25">
      <c r="A27" s="16"/>
      <c r="B27" s="16"/>
      <c r="C27" s="16"/>
    </row>
    <row r="28" spans="1:5" ht="15.75" outlineLevel="1" x14ac:dyDescent="0.25">
      <c r="A28" s="43" t="s">
        <v>274</v>
      </c>
      <c r="B28" s="44">
        <f>B26+B23+B20+B15</f>
        <v>1813090.0954886856</v>
      </c>
      <c r="C28" s="44">
        <f>SUM(C15+C20+C23+C26)</f>
        <v>419916.82996625378</v>
      </c>
      <c r="D28" s="27"/>
    </row>
    <row r="32" spans="1:5" x14ac:dyDescent="0.25">
      <c r="A32" s="24" t="s">
        <v>246</v>
      </c>
      <c r="B32" s="24" t="s">
        <v>26</v>
      </c>
      <c r="C32" s="22"/>
      <c r="D32" s="22"/>
      <c r="E32" s="22"/>
    </row>
    <row r="33" spans="1:2" x14ac:dyDescent="0.25">
      <c r="A33" t="s">
        <v>249</v>
      </c>
      <c r="B33" t="s">
        <v>250</v>
      </c>
    </row>
    <row r="34" spans="1:2" x14ac:dyDescent="0.25">
      <c r="A34" t="s">
        <v>252</v>
      </c>
      <c r="B34" t="s">
        <v>253</v>
      </c>
    </row>
    <row r="35" spans="1:2" x14ac:dyDescent="0.25">
      <c r="A35" t="s">
        <v>255</v>
      </c>
      <c r="B35" t="s">
        <v>256</v>
      </c>
    </row>
    <row r="36" spans="1:2" x14ac:dyDescent="0.25">
      <c r="A36" t="s">
        <v>258</v>
      </c>
      <c r="B36" t="s">
        <v>259</v>
      </c>
    </row>
    <row r="37" spans="1:2" x14ac:dyDescent="0.25">
      <c r="A37" t="s">
        <v>280</v>
      </c>
      <c r="B37" t="s">
        <v>262</v>
      </c>
    </row>
    <row r="39" spans="1:2" x14ac:dyDescent="0.25">
      <c r="A39" s="20" t="s">
        <v>276</v>
      </c>
    </row>
    <row r="40" spans="1:2" x14ac:dyDescent="0.25">
      <c r="A40" s="19" t="str">
        <f>Inputs_Calcs!G3</f>
        <v>Electricity Rate ($/kWh)</v>
      </c>
      <c r="B40" s="21">
        <f>Inputs_Calcs!H3</f>
        <v>0.22</v>
      </c>
    </row>
    <row r="41" spans="1:2" x14ac:dyDescent="0.25">
      <c r="A41" s="19" t="str">
        <f>Inputs_Calcs!J3</f>
        <v>Gas Rate ($/therm)</v>
      </c>
      <c r="B41" s="21">
        <f>Inputs_Calcs!K3</f>
        <v>1.5</v>
      </c>
    </row>
    <row r="42" spans="1:2" x14ac:dyDescent="0.25">
      <c r="A42" t="str">
        <f>Inputs_Calcs!A46</f>
        <v>Rated kW per EV Port</v>
      </c>
      <c r="B42">
        <f>Inputs_Calcs!B46</f>
        <v>7.2</v>
      </c>
    </row>
    <row r="43" spans="1:2" x14ac:dyDescent="0.25">
      <c r="A43" t="str">
        <f>Inputs_Calcs!A47</f>
        <v>Avg Use per EV Port (hours/day)</v>
      </c>
      <c r="B43">
        <f>Inputs_Calcs!B47</f>
        <v>6</v>
      </c>
    </row>
    <row r="45" spans="1:2" x14ac:dyDescent="0.25">
      <c r="A45" s="20" t="s">
        <v>278</v>
      </c>
    </row>
    <row r="46" spans="1:2" x14ac:dyDescent="0.25">
      <c r="A46" t="str">
        <f>Inputs_Calcs!A73</f>
        <v>Pool Size (ft² surface area)</v>
      </c>
      <c r="B46">
        <f>Inputs_Calcs!B73</f>
        <v>1749</v>
      </c>
    </row>
    <row r="47" spans="1:2" x14ac:dyDescent="0.25">
      <c r="A47" t="str">
        <f>Inputs_Calcs!A65</f>
        <v>Parking Garage Area (ft²)</v>
      </c>
      <c r="B47">
        <f>Inputs_Calcs!B65</f>
        <v>0</v>
      </c>
    </row>
    <row r="48" spans="1:2" x14ac:dyDescent="0.25">
      <c r="A48" t="str">
        <f>Inputs_Calcs!A56</f>
        <v>Hardscape / Parking Areas</v>
      </c>
      <c r="B48">
        <f>Inputs_Calcs!B56</f>
        <v>5898</v>
      </c>
    </row>
    <row r="49" spans="1:2" x14ac:dyDescent="0.25">
      <c r="A49" t="str">
        <f>Inputs_Calcs!A42</f>
        <v># of Elevators</v>
      </c>
      <c r="B49">
        <f>Inputs_Calcs!B42</f>
        <v>15</v>
      </c>
    </row>
    <row r="50" spans="1:2" x14ac:dyDescent="0.25">
      <c r="A50" t="str">
        <f>Inputs_Calcs!A43</f>
        <v>Total Parking Spaces</v>
      </c>
      <c r="B50">
        <f>Inputs_Calcs!B43</f>
        <v>504</v>
      </c>
    </row>
    <row r="51" spans="1:2" x14ac:dyDescent="0.25">
      <c r="A51" t="str">
        <f>Inputs_Calcs!A44</f>
        <v>% EV Charger Spaces of Total</v>
      </c>
      <c r="B51">
        <f>Inputs_Calcs!B44</f>
        <v>30</v>
      </c>
    </row>
    <row r="52" spans="1:2" x14ac:dyDescent="0.25">
      <c r="A52" t="str">
        <f>Inputs_Calcs!A229</f>
        <v>Total Conditioned Area (ft²)</v>
      </c>
      <c r="B52">
        <f>Inputs_Calcs!B229</f>
        <v>0</v>
      </c>
    </row>
    <row r="53" spans="1:2" x14ac:dyDescent="0.25">
      <c r="A53" t="s">
        <v>277</v>
      </c>
      <c r="B53">
        <f>Inputs_Calcs!B230-B47</f>
        <v>36802.01</v>
      </c>
    </row>
  </sheetData>
  <mergeCells count="2">
    <mergeCell ref="A7:C7"/>
    <mergeCell ref="A2:C2"/>
  </mergeCells>
  <dataValidations disablePrompts="1" count="1">
    <dataValidation type="list" showInputMessage="1" showErrorMessage="1" sqref="B6:F6" xr:uid="{00000000-0002-0000-0400-000000000000}">
      <formula1>"Yes,No"</formula1>
    </dataValidation>
  </dataValidations>
  <pageMargins left="0.7" right="0.7" top="0" bottom="0.75" header="0.3" footer="0.3"/>
  <pageSetup scale="6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Instructions</vt:lpstr>
      <vt:lpstr>Inputs_Calcs</vt:lpstr>
      <vt:lpstr>Definitions</vt:lpstr>
      <vt:lpstr>Lookups_References</vt:lpstr>
      <vt:lpstr>Report_Client</vt:lpstr>
      <vt:lpstr>Report_Client!Print_Area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Amanda Priestley-Milianta</cp:lastModifiedBy>
  <cp:lastPrinted>2025-10-24T21:25:42Z</cp:lastPrinted>
  <dcterms:created xsi:type="dcterms:W3CDTF">2025-08-22T17:38:15Z</dcterms:created>
  <dcterms:modified xsi:type="dcterms:W3CDTF">2025-10-24T21:27:23Z</dcterms:modified>
</cp:coreProperties>
</file>